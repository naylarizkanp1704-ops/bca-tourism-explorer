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Indicator_Roadmap" sheetId="2" state="visible" r:id="rId4"/>
    <sheet name="02_Province_Master" sheetId="3" state="visible" r:id="rId5"/>
    <sheet name="03_National_KPI" sheetId="4" state="visible" r:id="rId6"/>
    <sheet name="04_Province_Domestic_Trips" sheetId="5" state="visible" r:id="rId7"/>
    <sheet name="05_Destination_Master" sheetId="6" state="visible" r:id="rId8"/>
    <sheet name="06_QRIS_Digital_Payment" sheetId="7" state="visible" r:id="rId9"/>
    <sheet name="07_BCA_Ecosystem" sheetId="8" state="visible" r:id="rId10"/>
    <sheet name="09_Reference_Master" sheetId="9" state="visible" r:id="rId11"/>
    <sheet name="10_QA_Audit_Log" sheetId="10" state="visible" r:id="rId12"/>
    <sheet name="11_Accommodation" sheetId="11" state="visible" r:id="rId13"/>
    <sheet name="12_Air_Transportation" sheetId="12" state="visible" r:id="rId14"/>
    <sheet name="13_Investment_Potential_Sector" sheetId="13" state="visible" r:id="rId15"/>
    <sheet name="14_BCA_Financial_Statements" sheetId="14" state="visible" r:id="rId16"/>
    <sheet name="15_Financial_Projection_Model"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<sst xmlns="http://schemas.openxmlformats.org/spreadsheetml/2006/main" count="3513" uniqueCount="1088">
  <si>
    <t xml:space="preserve">MASTER TOURISM DATABASE — FINAL (V3) — BCA Travel &amp; Tourism Business Case</t>
  </si>
  <si>
    <t xml:space="preserve">PURPOSE</t>
  </si>
  <si>
    <t xml:space="preserve">Evidence database supporting BCA Travel &amp; Tourism business case recommendations. Built to a credibility-first standard: every figure in a DATA sheet (not the roadmap sheet) is either reused verbatim from the user-supplied verified PDF, or sourced this pass to a named official publication with a real URL.</t>
  </si>
  <si>
    <t xml:space="preserve">WHAT CHANGED FROM V2</t>
  </si>
  <si>
    <t xml:space="preserve">1) Removed every 'NOT YET COLLECTED', 'NOT PUBLICLY AVAILABLE', 'pending', simulated or estimated cell from data sheets. An indicator with no verified value in this pass is listed ONLY in 01_Indicator_Roadmap (a planning catalog, not a data table) so the next research pass knows exactly which official table to pull.</t>
  </si>
  <si>
    <t xml:space="preserve">2) Population standardized to ONE consistent official source (Kemendagri Dukcapil, Dec 2024) across all 38 provinces, replacing V2's mixed BPS-partial/blank approach.</t>
  </si>
  <si>
    <t xml:space="preserve">3) Added real province-of-origin domestic trip data for all 38 provinces (Kementerian Pariwisata, data diolah dari BPS), covering Jan-Jun 2024 vs Jan-Jun 2025 — the most current officially published cut available.</t>
  </si>
  <si>
    <t xml:space="preserve">4) Added verified national QRIS/digital-payment time series (Bank Indonesia) and BCA ecosystem figures (BCA Annual Report 2024 / official press releases).</t>
  </si>
  <si>
    <t xml:space="preserve">5) Destination Master (106 destinations) kept at full national coverage per the brief's ~100-destination target, but the fabricated per-destination 'visitor count / publication year' columns were removed — those figures are not published at destination level by an official source for most sites, so per the brief's rule they were deleted rather than estimated. UNESCO and KSPN status are kept because those ARE independently verifiable official designations (UNESCO World Heritage List; Kemenparekraf RIPPARNAS).</t>
  </si>
  <si>
    <t xml:space="preserve">HOW TO READ THIS WORKBOOK</t>
  </si>
  <si>
    <t xml:space="preserve">- Sheets 02-08 contain ONLY verified data, each row carrying its own Official Source / Publication / URL.</t>
  </si>
  <si>
    <t xml:space="preserve">- 01_Indicator_Roadmap is the trimmed indicator catalog (kept from the Phase-1 definition layer, with the 7 indicators BPS/BI do not publish at all removed) — use it to plan the next collection pass. It is not a data source for the dashboard.</t>
  </si>
  <si>
    <t xml:space="preserve">- 09_Reference_Master lists every official source used, once each, with live URLs.</t>
  </si>
  <si>
    <t xml:space="preserve">- 10_QA_Audit_Log documents exactly what was removed from V2 and why.</t>
  </si>
  <si>
    <t xml:space="preserve">Build date: 2026-07-30</t>
  </si>
  <si>
    <t xml:space="preserve">01 — Indicator Roadmap (planning catalog, not a data table)</t>
  </si>
  <si>
    <t xml:space="preserve">Carried over from the Phase-1 indicator definition layer. The 7 indicators BPS/BI/Kemenpar do not publish at any level (Repeat Visit Rate, Average Planning Time, Booking Method Online/Offline, Weekend Travel %, Average Travel Distance, QRIS Usage in Tourism Sector, Mobile Banking Usage for Travel Payments) were removed per the brief's rule to delete indicators that cannot be supported by an official publication. 'Data Status' shows whether the indicator is already populated with verified figures elsewhere in this workbook, or still requires a dedicated BPS/BI provincial-table extraction pass (source is identified; no numbers are guessed here).</t>
  </si>
  <si>
    <t xml:space="preserve">Category</t>
  </si>
  <si>
    <t xml:space="preserve">Indicator Name</t>
  </si>
  <si>
    <t xml:space="preserve">Official Source</t>
  </si>
  <si>
    <t xml:space="preserve">Official Publication</t>
  </si>
  <si>
    <t xml:space="preserve">Geographic Level</t>
  </si>
  <si>
    <t xml:space="preserve">Data Status</t>
  </si>
  <si>
    <t xml:space="preserve">Populated In Sheet</t>
  </si>
  <si>
    <t xml:space="preserve">Remarks</t>
  </si>
  <si>
    <t xml:space="preserve">Indonesia Macro Context</t>
  </si>
  <si>
    <t xml:space="preserve">Total Population</t>
  </si>
  <si>
    <t xml:space="preserve">BPS</t>
  </si>
  <si>
    <t xml:space="preserve">Statistik Indonesia (Yearly)</t>
  </si>
  <si>
    <t xml:space="preserve">National, Province</t>
  </si>
  <si>
    <t xml:space="preserve">Populated with verified figures (this pass)</t>
  </si>
  <si>
    <t xml:space="preserve">02_Province_Master</t>
  </si>
  <si>
    <t xml:space="preserve">Urban vs Rural Population Split</t>
  </si>
  <si>
    <t xml:space="preserve">Source identified — value extraction not yet done this pass (do not treat as data)</t>
  </si>
  <si>
    <t xml:space="preserve">—</t>
  </si>
  <si>
    <t xml:space="preserve">Working-Age Population (15-64)</t>
  </si>
  <si>
    <t xml:space="preserve">GDP per Capita (Province)</t>
  </si>
  <si>
    <t xml:space="preserve">PDRB Provinsi (Yearly)</t>
  </si>
  <si>
    <t xml:space="preserve">Household Consumption Expenditure</t>
  </si>
  <si>
    <t xml:space="preserve">Susenas</t>
  </si>
  <si>
    <t xml:space="preserve">Regional Minimum Wage (UMP)</t>
  </si>
  <si>
    <t xml:space="preserve">Ministry of Manpower</t>
  </si>
  <si>
    <t xml:space="preserve">UMP Annual Decree</t>
  </si>
  <si>
    <t xml:space="preserve">Tourism</t>
  </si>
  <si>
    <t xml:space="preserve">Domestic Tourism Contribution to GDP</t>
  </si>
  <si>
    <t xml:space="preserve">Ministry of Tourism / BPS</t>
  </si>
  <si>
    <t xml:space="preserve">Tourism Satellite Account</t>
  </si>
  <si>
    <t xml:space="preserve">National</t>
  </si>
  <si>
    <t xml:space="preserve">03_National_KPI</t>
  </si>
  <si>
    <t xml:space="preserve">Total Domestic Trips (National)</t>
  </si>
  <si>
    <t xml:space="preserve">Statistik Wisatawan Nusantara</t>
  </si>
  <si>
    <t xml:space="preserve">Domestic Tourism Employment</t>
  </si>
  <si>
    <t xml:space="preserve">Ministry of Tourism</t>
  </si>
  <si>
    <t xml:space="preserve">Foreign vs Domestic Tourist Spending Ratio</t>
  </si>
  <si>
    <t xml:space="preserve">Neraca Satelit Pariwisata Nasional</t>
  </si>
  <si>
    <t xml:space="preserve">Domestic Travel</t>
  </si>
  <si>
    <t xml:space="preserve">Domestic Trips by Province (Origin)</t>
  </si>
  <si>
    <t xml:space="preserve">04_Province_Domestic_Trips</t>
  </si>
  <si>
    <t xml:space="preserve">Trip Growth Rate YoY</t>
  </si>
  <si>
    <t xml:space="preserve">Travel Penetration Rate</t>
  </si>
  <si>
    <t xml:space="preserve">BPS (derived)</t>
  </si>
  <si>
    <t xml:space="preserve">Statistik Wisatawan Nusantara + Statistik Indonesia</t>
  </si>
  <si>
    <t xml:space="preserve">Average Length of Stay</t>
  </si>
  <si>
    <t xml:space="preserve">Main Travel Purpose (Share)</t>
  </si>
  <si>
    <t xml:space="preserve">Peak Travel Season</t>
  </si>
  <si>
    <t xml:space="preserve">Hotel Occupancy Rate</t>
  </si>
  <si>
    <t xml:space="preserve">Statistik Hotel dan Akomodasi Lainnya</t>
  </si>
  <si>
    <t xml:space="preserve">Traveler Profile</t>
  </si>
  <si>
    <t xml:space="preserve">Age Group Distribution</t>
  </si>
  <si>
    <t xml:space="preserve">Gender Distribution</t>
  </si>
  <si>
    <t xml:space="preserve">Occupation Distribution</t>
  </si>
  <si>
    <t xml:space="preserve">Income Bracket Distribution</t>
  </si>
  <si>
    <t xml:space="preserve">Susenas / Statistik Wisatawan Nusantara</t>
  </si>
  <si>
    <t xml:space="preserve">Education Level Distribution</t>
  </si>
  <si>
    <t xml:space="preserve">Travel Companion Type</t>
  </si>
  <si>
    <t xml:space="preserve">Travel Frequency (trips/year)</t>
  </si>
  <si>
    <t xml:space="preserve">Travel Behaviour</t>
  </si>
  <si>
    <t xml:space="preserve">Transportation Mode Used</t>
  </si>
  <si>
    <t xml:space="preserve">Accommodation Type Used</t>
  </si>
  <si>
    <t xml:space="preserve">Top Travel Activities</t>
  </si>
  <si>
    <t xml:space="preserve">Holiday Travel %</t>
  </si>
  <si>
    <t xml:space="preserve">Ministry of Transportation</t>
  </si>
  <si>
    <t xml:space="preserve">Posko Angkutan Lebaran/Nataru Report</t>
  </si>
  <si>
    <t xml:space="preserve">Business Travel %</t>
  </si>
  <si>
    <t xml:space="preserve">Family Travel %</t>
  </si>
  <si>
    <t xml:space="preserve">Solo Travel %</t>
  </si>
  <si>
    <t xml:space="preserve">Group Travel %</t>
  </si>
  <si>
    <t xml:space="preserve">Top Travel Motivation</t>
  </si>
  <si>
    <t xml:space="preserve">Peak Month</t>
  </si>
  <si>
    <t xml:space="preserve">BPS / Ministry of Transportation</t>
  </si>
  <si>
    <t xml:space="preserve">Wisnus + Holiday Travel Reports</t>
  </si>
  <si>
    <t xml:space="preserve">Low Season</t>
  </si>
  <si>
    <t xml:space="preserve">Travel Spending</t>
  </si>
  <si>
    <t xml:space="preserve">Transportation Spending</t>
  </si>
  <si>
    <t xml:space="preserve">Accommodation Spending</t>
  </si>
  <si>
    <t xml:space="preserve">Food &amp; Beverage Spending</t>
  </si>
  <si>
    <t xml:space="preserve">Shopping Spending</t>
  </si>
  <si>
    <t xml:space="preserve">Entertainment Spending</t>
  </si>
  <si>
    <t xml:space="preserve">Local Transport Spending</t>
  </si>
  <si>
    <t xml:space="preserve">Attraction/Ticket Spending</t>
  </si>
  <si>
    <t xml:space="preserve">Other Spending</t>
  </si>
  <si>
    <t xml:space="preserve">Total Average Spending per Trip</t>
  </si>
  <si>
    <t xml:space="preserve">Total Domestic Travel Market Size</t>
  </si>
  <si>
    <t xml:space="preserve">Statistik Wisatawan Nusantara (derived)</t>
  </si>
  <si>
    <t xml:space="preserve">Travel Spending Share of Household Consumption</t>
  </si>
  <si>
    <t xml:space="preserve">Susenas + Statistik Wisatawan Nusantara</t>
  </si>
  <si>
    <t xml:space="preserve">Transportation</t>
  </si>
  <si>
    <t xml:space="preserve">Domestic Air Passenger Volume</t>
  </si>
  <si>
    <t xml:space="preserve">Statistik Perhubungan Udara</t>
  </si>
  <si>
    <t xml:space="preserve">Domestic Rail Passenger Volume</t>
  </si>
  <si>
    <t xml:space="preserve">Ministry of Transportation / KAI</t>
  </si>
  <si>
    <t xml:space="preserve">Statistik Perhubungan Darat</t>
  </si>
  <si>
    <t xml:space="preserve">Domestic Sea Passenger Volume</t>
  </si>
  <si>
    <t xml:space="preserve">Statistik Perhubungan Laut</t>
  </si>
  <si>
    <t xml:space="preserve">Toll Road Length by Province</t>
  </si>
  <si>
    <t xml:space="preserve">Ministry of Public Works / BPJT</t>
  </si>
  <si>
    <t xml:space="preserve">Toll Road Statistics</t>
  </si>
  <si>
    <t xml:space="preserve">Airport Capacity</t>
  </si>
  <si>
    <t xml:space="preserve">Ministry of Transportation / Angkasa Pura</t>
  </si>
  <si>
    <t xml:space="preserve">Airport Master Plan Data</t>
  </si>
  <si>
    <t xml:space="preserve">Accommodation</t>
  </si>
  <si>
    <t xml:space="preserve">Number of Hotel Rooms by Province</t>
  </si>
  <si>
    <t xml:space="preserve">Hotel Classification Mix (Star Rating)</t>
  </si>
  <si>
    <t xml:space="preserve">Average Length of Hotel Stay</t>
  </si>
  <si>
    <t xml:space="preserve">Digital Payment</t>
  </si>
  <si>
    <t xml:space="preserve">Preferred Payment Method</t>
  </si>
  <si>
    <t xml:space="preserve">Bank Indonesia</t>
  </si>
  <si>
    <t xml:space="preserve">Laporan Sistem Pembayaran</t>
  </si>
  <si>
    <t xml:space="preserve">06_QRIS_Digital_Payment</t>
  </si>
  <si>
    <t xml:space="preserve">Average Transaction Value</t>
  </si>
  <si>
    <t xml:space="preserve">Payment Frequency</t>
  </si>
  <si>
    <t xml:space="preserve">Merchant Category Distribution (Payment)</t>
  </si>
  <si>
    <t xml:space="preserve">QRIS Merchant Category Report</t>
  </si>
  <si>
    <t xml:space="preserve">Payment Channel (Offline vs Online)</t>
  </si>
  <si>
    <t xml:space="preserve">Cashless Adoption</t>
  </si>
  <si>
    <t xml:space="preserve">Cashless Adoption Rate</t>
  </si>
  <si>
    <t xml:space="preserve">Laporan Perekonomian dan Keuangan Regional (LPKR)</t>
  </si>
  <si>
    <t xml:space="preserve">Cashless Transaction Value Growth</t>
  </si>
  <si>
    <t xml:space="preserve">Financial Inclusion Index (Province)</t>
  </si>
  <si>
    <t xml:space="preserve">OJK</t>
  </si>
  <si>
    <t xml:space="preserve">Survei Nasional Literasi dan Inklusi Keuangan (SNLIK)</t>
  </si>
  <si>
    <t xml:space="preserve">QRIS</t>
  </si>
  <si>
    <t xml:space="preserve">QRIS Adoption Rate (Consumers)</t>
  </si>
  <si>
    <t xml:space="preserve">Laporan QRIS / Laporan Sistem Pembayaran</t>
  </si>
  <si>
    <t xml:space="preserve">QRIS Merchant Count by Province</t>
  </si>
  <si>
    <t xml:space="preserve">Laporan QRIS</t>
  </si>
  <si>
    <t xml:space="preserve">QRIS Transaction Volume</t>
  </si>
  <si>
    <t xml:space="preserve">Mobile Banking</t>
  </si>
  <si>
    <t xml:space="preserve">Mobile Banking User Growth</t>
  </si>
  <si>
    <t xml:space="preserve">Bank Indonesia / OJK</t>
  </si>
  <si>
    <t xml:space="preserve">Statistik Perbankan Indonesia</t>
  </si>
  <si>
    <t xml:space="preserve">Mobile Banking Transaction Volume (Industry)</t>
  </si>
  <si>
    <t xml:space="preserve">BCA Ecosystem</t>
  </si>
  <si>
    <t xml:space="preserve">myBCA Active Users</t>
  </si>
  <si>
    <t xml:space="preserve">BCA</t>
  </si>
  <si>
    <t xml:space="preserve">Annual Report / Investor Presentation</t>
  </si>
  <si>
    <t xml:space="preserve">07_BCA_Ecosystem</t>
  </si>
  <si>
    <t xml:space="preserve">BCA mobile Transaction Volume</t>
  </si>
  <si>
    <t xml:space="preserve">Annual Report</t>
  </si>
  <si>
    <t xml:space="preserve">KlikBCA Users</t>
  </si>
  <si>
    <t xml:space="preserve">BCA QRIS Merchant Count</t>
  </si>
  <si>
    <t xml:space="preserve">Annual Report / Sustainability Report</t>
  </si>
  <si>
    <t xml:space="preserve">BCA Merchant Partnership Count</t>
  </si>
  <si>
    <t xml:space="preserve">Annual Report / Press Release</t>
  </si>
  <si>
    <t xml:space="preserve">BCA Travel Promotions (Active List)</t>
  </si>
  <si>
    <t xml:space="preserve">Official Website / Press Release</t>
  </si>
  <si>
    <t xml:space="preserve">BCA Travel Partnerships</t>
  </si>
  <si>
    <t xml:space="preserve">Press Release / Investor Presentation</t>
  </si>
  <si>
    <t xml:space="preserve">BCA Credit Card Count/Volume</t>
  </si>
  <si>
    <t xml:space="preserve">BCA Debit Card Count/Volume</t>
  </si>
  <si>
    <t xml:space="preserve">BCA Foreign Exchange Services</t>
  </si>
  <si>
    <t xml:space="preserve">Annual Report / Website</t>
  </si>
  <si>
    <t xml:space="preserve">BCA Travel Insurance Products</t>
  </si>
  <si>
    <t xml:space="preserve">Website / Press Release</t>
  </si>
  <si>
    <t xml:space="preserve">BCA ATM Network (National)</t>
  </si>
  <si>
    <t xml:space="preserve">BCA Branch Network (National)</t>
  </si>
  <si>
    <t xml:space="preserve">Travel Industry</t>
  </si>
  <si>
    <t xml:space="preserve">Number of Registered Travel Agencies</t>
  </si>
  <si>
    <t xml:space="preserve">Data Pariwisata</t>
  </si>
  <si>
    <t xml:space="preserve">Number of Registered Hotels</t>
  </si>
  <si>
    <t xml:space="preserve">BPS / Ministry of Tourism</t>
  </si>
  <si>
    <t xml:space="preserve">Statistik Hotel / Data Pariwisata</t>
  </si>
  <si>
    <t xml:space="preserve">Tourism Sector Investment (PMA/PMDN)</t>
  </si>
  <si>
    <t xml:space="preserve">BKPM</t>
  </si>
  <si>
    <t xml:space="preserve">Laporan Realisasi Investasi</t>
  </si>
  <si>
    <t xml:space="preserve">Province Intelligence</t>
  </si>
  <si>
    <t xml:space="preserve">Tourism Development Stage</t>
  </si>
  <si>
    <t xml:space="preserve">RIPPARNAS / Rencana Induk Pariwisata</t>
  </si>
  <si>
    <t xml:space="preserve">Province</t>
  </si>
  <si>
    <t xml:space="preserve">National Tourism Priority Status (KSPN)</t>
  </si>
  <si>
    <t xml:space="preserve">RIPPARNAS</t>
  </si>
  <si>
    <t xml:space="preserve">05_Destination_Master</t>
  </si>
  <si>
    <t xml:space="preserve">Toll Road Access</t>
  </si>
  <si>
    <t xml:space="preserve">Main Economic Driver</t>
  </si>
  <si>
    <t xml:space="preserve">PDRB Provinsi Menurut Lapangan Usaha</t>
  </si>
  <si>
    <t xml:space="preserve">Destination Intelligence</t>
  </si>
  <si>
    <t xml:space="preserve">Destination Category</t>
  </si>
  <si>
    <t xml:space="preserve">Ministry of Tourism (cross-verified with provincial tourism office publications)</t>
  </si>
  <si>
    <t xml:space="preserve">Data Pariwisata / Provincial Tourism Master Plans</t>
  </si>
  <si>
    <t xml:space="preserve">Destination</t>
  </si>
  <si>
    <t xml:space="preserve">UNESCO Status</t>
  </si>
  <si>
    <t xml:space="preserve">UNESCO</t>
  </si>
  <si>
    <t xml:space="preserve">World Heritage List</t>
  </si>
  <si>
    <t xml:space="preserve">Annual Visitor Count (Destination)</t>
  </si>
  <si>
    <t xml:space="preserve">Ministry of Tourism / Destination Management Authority (e.g., Balai Konservasi, BOB)</t>
  </si>
  <si>
    <t xml:space="preserve">Statistik Kunjungan Wisatawan per Destinasi</t>
  </si>
  <si>
    <t xml:space="preserve">National Priority Destination (KSPN member)</t>
  </si>
  <si>
    <t xml:space="preserve">Market Opportunity</t>
  </si>
  <si>
    <t xml:space="preserve">Total Addressable Domestic Travel Payment Market</t>
  </si>
  <si>
    <t xml:space="preserve">BPS + Bank Indonesia (derived, both official)</t>
  </si>
  <si>
    <t xml:space="preserve">Wisnus + Payment System Reports (derived)</t>
  </si>
  <si>
    <t xml:space="preserve">Cash-to-Cashless Conversion Gap</t>
  </si>
  <si>
    <t xml:space="preserve">Bank Indonesia (derived)</t>
  </si>
  <si>
    <t xml:space="preserve">Laporan Sistem Pembayaran (derived)</t>
  </si>
  <si>
    <t xml:space="preserve">High-Growth, Low-Cashless Provinces</t>
  </si>
  <si>
    <t xml:space="preserve">BPS + Bank Indonesia (derived)</t>
  </si>
  <si>
    <t xml:space="preserve">Business Opportunity</t>
  </si>
  <si>
    <t xml:space="preserve">Merchant Acquisition Opportunity by Province</t>
  </si>
  <si>
    <t xml:space="preserve">Ministry of Tourism + BCA (derived)</t>
  </si>
  <si>
    <t xml:space="preserve">Data Pariwisata + BCA Annual Report (derived)</t>
  </si>
  <si>
    <t xml:space="preserve">Card Product Opportunity by Segment</t>
  </si>
  <si>
    <t xml:space="preserve">Internal analysis (based on above verified indicators)</t>
  </si>
  <si>
    <t xml:space="preserve">N/A — analytical synthesis, not a primary source</t>
  </si>
  <si>
    <t xml:space="preserve">Executive KPI</t>
  </si>
  <si>
    <t xml:space="preserve">Total Domestic Trips (National, Latest Year)</t>
  </si>
  <si>
    <t xml:space="preserve">Total Domestic Travel Market Size (Latest Year)</t>
  </si>
  <si>
    <t xml:space="preserve">National Cashless Adoption Rate (Latest Year)</t>
  </si>
  <si>
    <t xml:space="preserve">Top 5 Provinces by Travel Demand</t>
  </si>
  <si>
    <t xml:space="preserve">Top 5 High-Opportunity Provinces</t>
  </si>
  <si>
    <t xml:space="preserve">Derived from Market Opportunity indicators</t>
  </si>
  <si>
    <t xml:space="preserve">02 — Province Master (38 provinces)</t>
  </si>
  <si>
    <t xml:space="preserve">Geographic reference facts (island, capital, coordinates, main airport) are stable, non-statistical administrative facts. Population standardized to Kemendagri Dukcapil, December 2024 — one consistent source for all 38 provinces (replaces V2's mixed/partial BPS approach). KSPN designation per Kemenparekraf RIPPARNAS priority-destination framework.</t>
  </si>
  <si>
    <t xml:space="preserve">Province Code</t>
  </si>
  <si>
    <t xml:space="preserve">Island</t>
  </si>
  <si>
    <t xml:space="preserve">Capital</t>
  </si>
  <si>
    <t xml:space="preserve">Population (Dec 2024)</t>
  </si>
  <si>
    <t xml:space="preserve">Latitude</t>
  </si>
  <si>
    <t xml:space="preserve">Longitude</t>
  </si>
  <si>
    <t xml:space="preserve">Main Airport</t>
  </si>
  <si>
    <t xml:space="preserve">Priority Tourism Status (KSPN)</t>
  </si>
  <si>
    <t xml:space="preserve">Main Tourism Hub</t>
  </si>
  <si>
    <t xml:space="preserve">Population Source</t>
  </si>
  <si>
    <t xml:space="preserve">Population URL</t>
  </si>
  <si>
    <t xml:space="preserve">11</t>
  </si>
  <si>
    <t xml:space="preserve">Aceh</t>
  </si>
  <si>
    <t xml:space="preserve">Sumatra</t>
  </si>
  <si>
    <t xml:space="preserve">Banda Aceh</t>
  </si>
  <si>
    <t xml:space="preserve">Sultan Iskandar Muda Intl (BTJ)</t>
  </si>
  <si>
    <t xml:space="preserve">No</t>
  </si>
  <si>
    <t xml:space="preserve">Sabang / Pulau Weh</t>
  </si>
  <si>
    <t xml:space="preserve">Direktorat Jenderal Kependudukan dan Pencatatan Sipil (Dukcapil), Kementerian Dalam Negeri RI</t>
  </si>
  <si>
    <t xml:space="preserve">https://dataloka.id/humaniora/2665/jumlah-penduduk-indonesia-2024-berdasarkan-provinsi/</t>
  </si>
  <si>
    <t xml:space="preserve">12</t>
  </si>
  <si>
    <t xml:space="preserve">Sumatera Utara</t>
  </si>
  <si>
    <t xml:space="preserve">Medan</t>
  </si>
  <si>
    <t xml:space="preserve">Kualanamu Intl (KNO)</t>
  </si>
  <si>
    <t xml:space="preserve">Yes - Danau Toba (Super Priority)</t>
  </si>
  <si>
    <t xml:space="preserve">Danau Toba</t>
  </si>
  <si>
    <t xml:space="preserve">13</t>
  </si>
  <si>
    <t xml:space="preserve">Sumatera Barat</t>
  </si>
  <si>
    <t xml:space="preserve">Padang</t>
  </si>
  <si>
    <t xml:space="preserve">Minangkabau Intl (PDG)</t>
  </si>
  <si>
    <t xml:space="preserve">Bukittinggi / Mentawai</t>
  </si>
  <si>
    <t xml:space="preserve">14</t>
  </si>
  <si>
    <t xml:space="preserve">Riau</t>
  </si>
  <si>
    <t xml:space="preserve">Pekanbaru</t>
  </si>
  <si>
    <t xml:space="preserve">Sultan Syarif Kasim II (PKU)</t>
  </si>
  <si>
    <t xml:space="preserve">Pekanbaru city tourism</t>
  </si>
  <si>
    <t xml:space="preserve">21</t>
  </si>
  <si>
    <t xml:space="preserve">Kepulauan Riau</t>
  </si>
  <si>
    <t xml:space="preserve">Tanjungpinang</t>
  </si>
  <si>
    <t xml:space="preserve">Hang Nadim Intl, Batam (BTH)</t>
  </si>
  <si>
    <t xml:space="preserve">Bintan / Batam</t>
  </si>
  <si>
    <t xml:space="preserve">15</t>
  </si>
  <si>
    <t xml:space="preserve">Jambi</t>
  </si>
  <si>
    <t xml:space="preserve">Jambi City</t>
  </si>
  <si>
    <t xml:space="preserve">Sultan Thaha (DJB)</t>
  </si>
  <si>
    <t xml:space="preserve">Kerinci Seblat NP</t>
  </si>
  <si>
    <t xml:space="preserve">16</t>
  </si>
  <si>
    <t xml:space="preserve">Sumatera Selatan</t>
  </si>
  <si>
    <t xml:space="preserve">Palembang</t>
  </si>
  <si>
    <t xml:space="preserve">Sultan Mahmud Badaruddin II (PLM)</t>
  </si>
  <si>
    <t xml:space="preserve">Palembang (Ampera/Musi)</t>
  </si>
  <si>
    <t xml:space="preserve">19</t>
  </si>
  <si>
    <t xml:space="preserve">Kepulauan Bangka Belitung</t>
  </si>
  <si>
    <t xml:space="preserve">Pangkal Pinang</t>
  </si>
  <si>
    <t xml:space="preserve">Depati Amir (PGK)</t>
  </si>
  <si>
    <t xml:space="preserve">Yes - Tanjung Kelayang (Priority)</t>
  </si>
  <si>
    <t xml:space="preserve">Tanjung Kelayang</t>
  </si>
  <si>
    <t xml:space="preserve">17</t>
  </si>
  <si>
    <t xml:space="preserve">Bengkulu</t>
  </si>
  <si>
    <t xml:space="preserve">Bengkulu City</t>
  </si>
  <si>
    <t xml:space="preserve">Fatmawati Soekarno (BKS)</t>
  </si>
  <si>
    <t xml:space="preserve">Bengkulu city heritage</t>
  </si>
  <si>
    <t xml:space="preserve">18</t>
  </si>
  <si>
    <t xml:space="preserve">Lampung</t>
  </si>
  <si>
    <t xml:space="preserve">Bandar Lampung</t>
  </si>
  <si>
    <t xml:space="preserve">Radin Inten II (TKG)</t>
  </si>
  <si>
    <t xml:space="preserve">Way Kambas / Krakatau</t>
  </si>
  <si>
    <t xml:space="preserve">31</t>
  </si>
  <si>
    <t xml:space="preserve">DKI Jakarta</t>
  </si>
  <si>
    <t xml:space="preserve">Java</t>
  </si>
  <si>
    <t xml:space="preserve">Jakarta</t>
  </si>
  <si>
    <t xml:space="preserve">Soekarno-Hatta Intl (CGK)</t>
  </si>
  <si>
    <t xml:space="preserve">Kota Tua / Ancol</t>
  </si>
  <si>
    <t xml:space="preserve">32</t>
  </si>
  <si>
    <t xml:space="preserve">Jawa Barat</t>
  </si>
  <si>
    <t xml:space="preserve">Bandung</t>
  </si>
  <si>
    <t xml:space="preserve">Kertajati Intl (KJT) / Husein Sastranegara (BDO)</t>
  </si>
  <si>
    <t xml:space="preserve">Bandung / Puncak</t>
  </si>
  <si>
    <t xml:space="preserve">33</t>
  </si>
  <si>
    <t xml:space="preserve">Jawa Tengah</t>
  </si>
  <si>
    <t xml:space="preserve">Semarang</t>
  </si>
  <si>
    <t xml:space="preserve">Achmad Yani Intl (SRG)</t>
  </si>
  <si>
    <t xml:space="preserve">Yes - Borobudur (Super Priority)</t>
  </si>
  <si>
    <t xml:space="preserve">Borobudur</t>
  </si>
  <si>
    <t xml:space="preserve">34</t>
  </si>
  <si>
    <t xml:space="preserve">DI Yogyakarta</t>
  </si>
  <si>
    <t xml:space="preserve">Yogyakarta</t>
  </si>
  <si>
    <t xml:space="preserve">Yogyakarta Intl Airport (YIA)</t>
  </si>
  <si>
    <t xml:space="preserve">Malioboro / Borobudur-Prambanan corridor</t>
  </si>
  <si>
    <t xml:space="preserve">35</t>
  </si>
  <si>
    <t xml:space="preserve">Jawa Timur</t>
  </si>
  <si>
    <t xml:space="preserve">Surabaya</t>
  </si>
  <si>
    <t xml:space="preserve">Juanda Intl (SUB)</t>
  </si>
  <si>
    <t xml:space="preserve">Yes - Bromo Tengger Semeru (Priority)</t>
  </si>
  <si>
    <t xml:space="preserve">Bromo Tengger Semeru</t>
  </si>
  <si>
    <t xml:space="preserve">36</t>
  </si>
  <si>
    <t xml:space="preserve">Banten</t>
  </si>
  <si>
    <t xml:space="preserve">Serang</t>
  </si>
  <si>
    <t xml:space="preserve">Anyer / Tanjung Lesung</t>
  </si>
  <si>
    <t xml:space="preserve">51</t>
  </si>
  <si>
    <t xml:space="preserve">Bali</t>
  </si>
  <si>
    <t xml:space="preserve">Bali &amp; Nusa Tenggara</t>
  </si>
  <si>
    <t xml:space="preserve">Denpasar</t>
  </si>
  <si>
    <t xml:space="preserve">Ngurah Rai Intl / I Gusti Ngurah Rai (DPS)</t>
  </si>
  <si>
    <t xml:space="preserve">Ubud / Kuta / Seminyak</t>
  </si>
  <si>
    <t xml:space="preserve">52</t>
  </si>
  <si>
    <t xml:space="preserve">Nusa Tenggara Barat</t>
  </si>
  <si>
    <t xml:space="preserve">Mataram</t>
  </si>
  <si>
    <t xml:space="preserve">Zainuddin Abdul Madjid Intl, Lombok (LOP)</t>
  </si>
  <si>
    <t xml:space="preserve">Yes - Mandalika (Super Priority)</t>
  </si>
  <si>
    <t xml:space="preserve">Mandalika / Gili Trawangan</t>
  </si>
  <si>
    <t xml:space="preserve">53</t>
  </si>
  <si>
    <t xml:space="preserve">Nusa Tenggara Timur</t>
  </si>
  <si>
    <t xml:space="preserve">Kupang</t>
  </si>
  <si>
    <t xml:space="preserve">El Tari (KOE) / Komodo, Labuan Bajo (LBJ)</t>
  </si>
  <si>
    <t xml:space="preserve">Yes - Labuan Bajo (Super Priority)</t>
  </si>
  <si>
    <t xml:space="preserve">Labuan Bajo / Komodo NP</t>
  </si>
  <si>
    <t xml:space="preserve">61</t>
  </si>
  <si>
    <t xml:space="preserve">Kalimantan Barat</t>
  </si>
  <si>
    <t xml:space="preserve">Kalimantan</t>
  </si>
  <si>
    <t xml:space="preserve">Pontianak</t>
  </si>
  <si>
    <t xml:space="preserve">Supadio (PNK)</t>
  </si>
  <si>
    <t xml:space="preserve">Singkawang</t>
  </si>
  <si>
    <t xml:space="preserve">62</t>
  </si>
  <si>
    <t xml:space="preserve">Kalimantan Tengah</t>
  </si>
  <si>
    <t xml:space="preserve">Palangka Raya</t>
  </si>
  <si>
    <t xml:space="preserve">Tjilik Riwut (PKY)</t>
  </si>
  <si>
    <t xml:space="preserve">Tanjung Puting NP</t>
  </si>
  <si>
    <t xml:space="preserve">63</t>
  </si>
  <si>
    <t xml:space="preserve">Kalimantan Selatan</t>
  </si>
  <si>
    <t xml:space="preserve">Banjarmasin</t>
  </si>
  <si>
    <t xml:space="preserve">Syamsudin Noor (BDJ)</t>
  </si>
  <si>
    <t xml:space="preserve">Lok Baintan floating market</t>
  </si>
  <si>
    <t xml:space="preserve">64</t>
  </si>
  <si>
    <t xml:space="preserve">Kalimantan Timur</t>
  </si>
  <si>
    <t xml:space="preserve">Samarinda</t>
  </si>
  <si>
    <t xml:space="preserve">Sultan Aji Muhammad Sulaiman, Balikpapan (BPN)</t>
  </si>
  <si>
    <t xml:space="preserve">Derawan Islands</t>
  </si>
  <si>
    <t xml:space="preserve">65</t>
  </si>
  <si>
    <t xml:space="preserve">Kalimantan Utara</t>
  </si>
  <si>
    <t xml:space="preserve">Tanjung Selor</t>
  </si>
  <si>
    <t xml:space="preserve">Juwata, Tarakan (TRK)</t>
  </si>
  <si>
    <t xml:space="preserve">Krayan Highlands</t>
  </si>
  <si>
    <t xml:space="preserve">71</t>
  </si>
  <si>
    <t xml:space="preserve">Sulawesi Utara</t>
  </si>
  <si>
    <t xml:space="preserve">Sulawesi</t>
  </si>
  <si>
    <t xml:space="preserve">Manado</t>
  </si>
  <si>
    <t xml:space="preserve">Sam Ratulangi Intl (MDC)</t>
  </si>
  <si>
    <t xml:space="preserve">Yes - Manado-Likupang-Bitung (Super Priority)</t>
  </si>
  <si>
    <t xml:space="preserve">Bunaken / Likupang</t>
  </si>
  <si>
    <t xml:space="preserve">72</t>
  </si>
  <si>
    <t xml:space="preserve">Sulawesi Tengah</t>
  </si>
  <si>
    <t xml:space="preserve">Palu</t>
  </si>
  <si>
    <t xml:space="preserve">Mutiara SIS Al-Jufrie (PLW)</t>
  </si>
  <si>
    <t xml:space="preserve">Togean Islands</t>
  </si>
  <si>
    <t xml:space="preserve">73</t>
  </si>
  <si>
    <t xml:space="preserve">Sulawesi Selatan</t>
  </si>
  <si>
    <t xml:space="preserve">Makassar</t>
  </si>
  <si>
    <t xml:space="preserve">Sultan Hasanuddin Intl (UPG)</t>
  </si>
  <si>
    <t xml:space="preserve">Tana Toraja</t>
  </si>
  <si>
    <t xml:space="preserve">74</t>
  </si>
  <si>
    <t xml:space="preserve">Sulawesi Tenggara</t>
  </si>
  <si>
    <t xml:space="preserve">Kendari</t>
  </si>
  <si>
    <t xml:space="preserve">Haluoleo (KDI)</t>
  </si>
  <si>
    <t xml:space="preserve">Yes - Wakatobi (Priority)</t>
  </si>
  <si>
    <t xml:space="preserve">Wakatobi</t>
  </si>
  <si>
    <t xml:space="preserve">75</t>
  </si>
  <si>
    <t xml:space="preserve">Gorontalo</t>
  </si>
  <si>
    <t xml:space="preserve">Gorontalo City</t>
  </si>
  <si>
    <t xml:space="preserve">Djalaluddin (GTO)</t>
  </si>
  <si>
    <t xml:space="preserve">Olele Marine Park</t>
  </si>
  <si>
    <t xml:space="preserve">76</t>
  </si>
  <si>
    <t xml:space="preserve">Sulawesi Barat</t>
  </si>
  <si>
    <t xml:space="preserve">Mamuju</t>
  </si>
  <si>
    <t xml:space="preserve">Tampa Padang (MJU)</t>
  </si>
  <si>
    <t xml:space="preserve">Mamuju coastal areas</t>
  </si>
  <si>
    <t xml:space="preserve">81</t>
  </si>
  <si>
    <t xml:space="preserve">Maluku</t>
  </si>
  <si>
    <t xml:space="preserve">Ambon</t>
  </si>
  <si>
    <t xml:space="preserve">Pattimura (AMQ)</t>
  </si>
  <si>
    <t xml:space="preserve">Banda Islands</t>
  </si>
  <si>
    <t xml:space="preserve">82</t>
  </si>
  <si>
    <t xml:space="preserve">Maluku Utara</t>
  </si>
  <si>
    <t xml:space="preserve">Sofifi</t>
  </si>
  <si>
    <t xml:space="preserve">Sultan Babullah, Ternate (TTE)</t>
  </si>
  <si>
    <t xml:space="preserve">Yes - Morotai (Priority)</t>
  </si>
  <si>
    <t xml:space="preserve">Morotai</t>
  </si>
  <si>
    <t xml:space="preserve">94</t>
  </si>
  <si>
    <t xml:space="preserve">Papua</t>
  </si>
  <si>
    <t xml:space="preserve">Jayapura</t>
  </si>
  <si>
    <t xml:space="preserve">Sentani (DJJ)</t>
  </si>
  <si>
    <t xml:space="preserve">Sentani Lake / Cyclops Mountains</t>
  </si>
  <si>
    <t xml:space="preserve">91</t>
  </si>
  <si>
    <t xml:space="preserve">Papua Barat</t>
  </si>
  <si>
    <t xml:space="preserve">Manokwari</t>
  </si>
  <si>
    <t xml:space="preserve">Rendani (MKW)</t>
  </si>
  <si>
    <t xml:space="preserve">Yes - Raja Ampat (Priority)</t>
  </si>
  <si>
    <t xml:space="preserve">Raja Ampat</t>
  </si>
  <si>
    <t xml:space="preserve">92</t>
  </si>
  <si>
    <t xml:space="preserve">Papua Barat Daya</t>
  </si>
  <si>
    <t xml:space="preserve">Sorong</t>
  </si>
  <si>
    <t xml:space="preserve">Domine Eduard Osok (SOQ)</t>
  </si>
  <si>
    <t xml:space="preserve">Raja Ampat (Sorong gateway)</t>
  </si>
  <si>
    <t xml:space="preserve">96</t>
  </si>
  <si>
    <t xml:space="preserve">Papua Tengah</t>
  </si>
  <si>
    <t xml:space="preserve">Nabire</t>
  </si>
  <si>
    <t xml:space="preserve">Douw Aturure (NBX)</t>
  </si>
  <si>
    <t xml:space="preserve">Paniai Lake</t>
  </si>
  <si>
    <t xml:space="preserve">95</t>
  </si>
  <si>
    <t xml:space="preserve">Papua Pegunungan</t>
  </si>
  <si>
    <t xml:space="preserve">Wamena</t>
  </si>
  <si>
    <t xml:space="preserve">Wamena (WMX)</t>
  </si>
  <si>
    <t xml:space="preserve">Baliem Valley</t>
  </si>
  <si>
    <t xml:space="preserve">93</t>
  </si>
  <si>
    <t xml:space="preserve">Papua Selatan</t>
  </si>
  <si>
    <t xml:space="preserve">Merauke</t>
  </si>
  <si>
    <t xml:space="preserve">Mopah (MKQ)</t>
  </si>
  <si>
    <t xml:space="preserve">Wasur National Park</t>
  </si>
  <si>
    <t xml:space="preserve">INDONESIA (total)</t>
  </si>
  <si>
    <t xml:space="preserve">03 — National KPI (verified, headline figures)</t>
  </si>
  <si>
    <t xml:space="preserve">Reused verbatim from the user-supplied verified PDF (BBCA_Dashboard_-_MAKRO_MIKRO_TRAVEL.pdf), each row cross-labeled to the official publication that PDF itself cites.</t>
  </si>
  <si>
    <t xml:space="preserve">Indicator</t>
  </si>
  <si>
    <t xml:space="preserve">Value</t>
  </si>
  <si>
    <t xml:space="preserve">Unit</t>
  </si>
  <si>
    <t xml:space="preserve">Year</t>
  </si>
  <si>
    <t xml:space="preserve">Publication</t>
  </si>
  <si>
    <t xml:space="preserve">URL</t>
  </si>
  <si>
    <t xml:space="preserve">International Context</t>
  </si>
  <si>
    <t xml:space="preserve">International tourists worldwide</t>
  </si>
  <si>
    <t xml:space="preserve">1.3</t>
  </si>
  <si>
    <t xml:space="preserve">Billion travelers</t>
  </si>
  <si>
    <t xml:space="preserve">2023</t>
  </si>
  <si>
    <t xml:space="preserve">World Economic Forum / UN Tourism</t>
  </si>
  <si>
    <t xml:space="preserve">Travel &amp; Tourism Development Index</t>
  </si>
  <si>
    <t xml:space="preserve">https://initiatives.weforum.org/experience-economy/travel-and-tourism</t>
  </si>
  <si>
    <t xml:space="preserve">People employed in travel &amp; tourism worldwide</t>
  </si>
  <si>
    <t xml:space="preserve">350</t>
  </si>
  <si>
    <t xml:space="preserve">Million jobs</t>
  </si>
  <si>
    <t xml:space="preserve">2024</t>
  </si>
  <si>
    <t xml:space="preserve">World Economic Forum / WTTC</t>
  </si>
  <si>
    <t xml:space="preserve">Travel &amp; tourism contribution to world GDP</t>
  </si>
  <si>
    <t xml:space="preserve">USD Trillion (projected)</t>
  </si>
  <si>
    <t xml:space="preserve">2034</t>
  </si>
  <si>
    <t xml:space="preserve">Travel &amp; tourism share of global GDP</t>
  </si>
  <si>
    <t xml:space="preserve">% (projected)</t>
  </si>
  <si>
    <t xml:space="preserve">National Macro</t>
  </si>
  <si>
    <t xml:space="preserve">Kontribusi Sektor Pariwisata terhadap PDB</t>
  </si>
  <si>
    <t xml:space="preserve">4.4 (2024, provisional); 4.2-4.3 target</t>
  </si>
  <si>
    <t xml:space="preserve">%</t>
  </si>
  <si>
    <t xml:space="preserve">2024/2025</t>
  </si>
  <si>
    <t xml:space="preserve">BPS &amp; Kementerian Pariwisata</t>
  </si>
  <si>
    <t xml:space="preserve">Total domestic trips (Wisnus), full year 2024</t>
  </si>
  <si>
    <t xml:space="preserve">1,020,000,000 (1.02 miliar)</t>
  </si>
  <si>
    <t xml:space="preserve">Trips</t>
  </si>
  <si>
    <t xml:space="preserve">Statistik Wisatawan Nusantara 2024</t>
  </si>
  <si>
    <t xml:space="preserve">https://www.bps.go.id/id/publication/2025/03/26/a7dd5a107d0dac1a41a3e414/statistik-wisatawan-nusantara-2024.html</t>
  </si>
  <si>
    <t xml:space="preserve">Domestic trips growth, 2024 vs 2023</t>
  </si>
  <si>
    <t xml:space="preserve">+21.61</t>
  </si>
  <si>
    <t xml:space="preserve">% YoY</t>
  </si>
  <si>
    <t xml:space="preserve">Average spending per domestic trip</t>
  </si>
  <si>
    <t xml:space="preserve">IDR 2,320,000 (~Rp2.32 juta)</t>
  </si>
  <si>
    <t xml:space="preserve">IDR/trip</t>
  </si>
  <si>
    <t xml:space="preserve">Average length of stay per domestic trip</t>
  </si>
  <si>
    <t xml:space="preserve">3.74</t>
  </si>
  <si>
    <t xml:space="preserve">Nights</t>
  </si>
  <si>
    <t xml:space="preserve">Average spending per trip (verified PDF, alt. cut)</t>
  </si>
  <si>
    <t xml:space="preserve">2,310,000 (Rp2.31 juta)</t>
  </si>
  <si>
    <t xml:space="preserve">Transportation spend allocation per trip</t>
  </si>
  <si>
    <t xml:space="preserve">513,940 (Rp513.94 ribu)</t>
  </si>
  <si>
    <t xml:space="preserve">Total Wisnus trips, Dec-2025 month volume</t>
  </si>
  <si>
    <t xml:space="preserve">105,980,000 (105.98 juta)</t>
  </si>
  <si>
    <t xml:space="preserve">Trips (month)</t>
  </si>
  <si>
    <t xml:space="preserve">Dec 2025</t>
  </si>
  <si>
    <t xml:space="preserve">Kementerian Pariwisata (diolah dari BPS)</t>
  </si>
  <si>
    <t xml:space="preserve">Perkembangan Statistik Perjalanan Wisatawan Nusantara</t>
  </si>
  <si>
    <t xml:space="preserve">Total Wisnus trips, full-year 2025</t>
  </si>
  <si>
    <t xml:space="preserve">1,200,332,559</t>
  </si>
  <si>
    <t xml:space="preserve">2025</t>
  </si>
  <si>
    <t xml:space="preserve">Wisnus growth, Des 2025 vs Des 2024</t>
  </si>
  <si>
    <t xml:space="preserve">+4.84</t>
  </si>
  <si>
    <t xml:space="preserve">Wisnus growth, Jan-Nov 2025 vs Jan-Nov 2024</t>
  </si>
  <si>
    <t xml:space="preserve">+9.88</t>
  </si>
  <si>
    <t xml:space="preserve">Total domestic trips (pre-pandemic baseline)</t>
  </si>
  <si>
    <t xml:space="preserve">722,150,733</t>
  </si>
  <si>
    <t xml:space="preserve">2019</t>
  </si>
  <si>
    <t xml:space="preserve">Statistik Wisatawan Nusantara (series 2019-2025)</t>
  </si>
  <si>
    <t xml:space="preserve">Domestic tourism trips, semester cumulative</t>
  </si>
  <si>
    <t xml:space="preserve">839,867,638</t>
  </si>
  <si>
    <t xml:space="preserve">Trips (cumulative)</t>
  </si>
  <si>
    <t xml:space="preserve">2024 (partial-year cumulative as published)</t>
  </si>
  <si>
    <t xml:space="preserve">Digital Behaviour</t>
  </si>
  <si>
    <t xml:space="preserve">Wisatawan yang akan menggunakan asisten virtual AI untuk merencanakan perjalanan</t>
  </si>
  <si>
    <t xml:space="preserve">48</t>
  </si>
  <si>
    <t xml:space="preserve">% of travelers</t>
  </si>
  <si>
    <t xml:space="preserve">EY</t>
  </si>
  <si>
    <t xml:space="preserve">EY Future Travel Behaviors Observatory: 2025 Edition</t>
  </si>
  <si>
    <t xml:space="preserve">Penggunaan AI - mencari informasi destinasi</t>
  </si>
  <si>
    <t xml:space="preserve">67</t>
  </si>
  <si>
    <t xml:space="preserve">% of AI-using travelers</t>
  </si>
  <si>
    <t xml:space="preserve">Penggunaan AI - rencana aktivitas &amp; atraksi wisata</t>
  </si>
  <si>
    <t xml:space="preserve">56</t>
  </si>
  <si>
    <t xml:space="preserve">Penggunaan AI - memesan tiket pesawat</t>
  </si>
  <si>
    <t xml:space="preserve">Penggunaan AI - memilih akomodasi</t>
  </si>
  <si>
    <t xml:space="preserve">44</t>
  </si>
  <si>
    <t xml:space="preserve">Penggunaan AI - memilih restoran</t>
  </si>
  <si>
    <t xml:space="preserve">43</t>
  </si>
  <si>
    <t xml:space="preserve">Penggunaan AI - mencari rekomendasi lokal</t>
  </si>
  <si>
    <t xml:space="preserve">28</t>
  </si>
  <si>
    <t xml:space="preserve">Outbound Travel</t>
  </si>
  <si>
    <t xml:space="preserve">Total perjalanan WNI ke luar negeri</t>
  </si>
  <si>
    <t xml:space="preserve">9,165,894</t>
  </si>
  <si>
    <t xml:space="preserve">Statistik Wisatawan Nasional 2024</t>
  </si>
  <si>
    <t xml:space="preserve">https://www.bps.go.id/en/publication/2025/03/17/8f41f59ea24192828f6c7275/statistik-wisatawan-nasional-2024.html</t>
  </si>
  <si>
    <t xml:space="preserve">Destination growth projection 2026 (Expert Survey 2025)</t>
  </si>
  <si>
    <t xml:space="preserve">Share of respondents projecting significant 2026 growth (%)</t>
  </si>
  <si>
    <t xml:space="preserve">Source</t>
  </si>
  <si>
    <t xml:space="preserve">Expert Survey (2025), sebagaimana disusun dalam BCA Travel &amp; Tourism Sector Dashboard</t>
  </si>
  <si>
    <t xml:space="preserve">Labuan Bajo - Flores</t>
  </si>
  <si>
    <t xml:space="preserve">Bandung - Yogyakarta - Semarang</t>
  </si>
  <si>
    <t xml:space="preserve">Lombok - Gili Trawangan</t>
  </si>
  <si>
    <t xml:space="preserve">Jakarta &amp; Sekitarnya</t>
  </si>
  <si>
    <t xml:space="preserve">Bandung &amp; Sekitarnya</t>
  </si>
  <si>
    <t xml:space="preserve">Toraja - Sumba</t>
  </si>
  <si>
    <t xml:space="preserve">Tarutung</t>
  </si>
  <si>
    <t xml:space="preserve">Outbound travel destination mix</t>
  </si>
  <si>
    <t xml:space="preserve">Share of outbound WNI trips (%)</t>
  </si>
  <si>
    <t xml:space="preserve">Malaysia</t>
  </si>
  <si>
    <t xml:space="preserve">BPS — Statistik Wisatawan Nasional 2024 (as compiled in verified PDF)</t>
  </si>
  <si>
    <t xml:space="preserve">Arab Saudi</t>
  </si>
  <si>
    <t xml:space="preserve">Singapura</t>
  </si>
  <si>
    <t xml:space="preserve">ASEAN (total)</t>
  </si>
  <si>
    <t xml:space="preserve">QRIS Cross-Border live countries</t>
  </si>
  <si>
    <t xml:space="preserve">Thailand, Malaysia, Singapura, Jepang, Korea Selatan, dan Tiongkok</t>
  </si>
  <si>
    <t xml:space="preserve">Bank Indonesia (as compiled in verified PDF)</t>
  </si>
  <si>
    <t xml:space="preserve">04 — Domestic Trips by Province of Origin (Jan-Jun cumulative, 2024 vs 2025)</t>
  </si>
  <si>
    <t xml:space="preserve">Source: Kementerian Pariwisata RI (diolah dari data BPS), 'Jumlah Perjalanan Wisatawan Nusantara Menurut Provinsi Asal, Tahun 2024-2025'. URL: https://api.kemenpar.go.id/storage/app/uploads/public/689/19a/04d/68919a04d3de8795212785.pdf . Figures are cumulative Jan-Jun (semester), the most current official province-of-origin cut publicly available at build time — NOT full-year totals, so do not compare directly to the full-year 2024 national figure in 03_National_KPI.</t>
  </si>
  <si>
    <t xml:space="preserve">Trips Jan-Jun 2024 (cumulative)</t>
  </si>
  <si>
    <t xml:space="preserve">Trips Jan-Jun 2025 (cumulative)</t>
  </si>
  <si>
    <t xml:space="preserve">Growth Jan-Jun25 vs Jan-Jun24 (%)</t>
  </si>
  <si>
    <t xml:space="preserve">Kementerian Pariwisata RI (diolah dari data BPS)</t>
  </si>
  <si>
    <t xml:space="preserve">https://api.kemenpar.go.id/storage/app/uploads/public/689/19a/04d/68919a04d3de8795212785.pdf</t>
  </si>
  <si>
    <t xml:space="preserve">05 — Destination Master (106 nationally significant destinations)</t>
  </si>
  <si>
    <t xml:space="preserve">Curated list spanning all island groups (kept at V2's 106-destination coverage, exceeding the ~100 target). Classification flags (Nature/Urban/Culture/Marine/Mountain/Religious) and coordinates are descriptive reference attributes, not statistics, so they carry a general reference basis rather than a per-row publication year. UNESCO status is cross-checked against the official UNESCO World Heritage List. KSPN designation follows Kemenparekraf's RIPPARNAS ('10 Bali Baru') priority framework. Per-destination ANNUAL VISITOR COUNT was in V2 as 'NOT YET COLLECTED' for all 106 rows — removed entirely in this version (not estimated) because no single official publication reports visitor counts across all destinations; only a handful of nationally-managed sites (e.g. Komodo NP, Borobudur) publish this, and mixing published-vs-unpublished counts in one column would misrepresent coverage.</t>
  </si>
  <si>
    <t xml:space="preserve">Destination Type</t>
  </si>
  <si>
    <t xml:space="preserve">Nature</t>
  </si>
  <si>
    <t xml:space="preserve">Urban</t>
  </si>
  <si>
    <t xml:space="preserve">Culture</t>
  </si>
  <si>
    <t xml:space="preserve">Marine</t>
  </si>
  <si>
    <t xml:space="preserve">Mountain</t>
  </si>
  <si>
    <t xml:space="preserve">Religious</t>
  </si>
  <si>
    <t xml:space="preserve">UNESCO World Heritage Status</t>
  </si>
  <si>
    <t xml:space="preserve">KSPN Priority Status</t>
  </si>
  <si>
    <t xml:space="preserve">Reference Basis</t>
  </si>
  <si>
    <t xml:space="preserve">Danau Toba &amp; Pulau Samosir</t>
  </si>
  <si>
    <t xml:space="preserve">Nature/Lake</t>
  </si>
  <si>
    <t xml:space="preserve">Y</t>
  </si>
  <si>
    <t xml:space="preserve">N</t>
  </si>
  <si>
    <t xml:space="preserve">Y - KSPN Super Priority</t>
  </si>
  <si>
    <t xml:space="preserve">Kemenparekraf RIPPARNAS ('10 Bali Baru' National Strategic Tourism Area / KSPN framework)</t>
  </si>
  <si>
    <t xml:space="preserve">Bukit Lawang (Gunung Leuser NP)</t>
  </si>
  <si>
    <t xml:space="preserve">General geographic/classification reference (provincial tourism office cross-check); no per-destination visitor statistic exists at official level — not included</t>
  </si>
  <si>
    <t xml:space="preserve">Pulau Weh / Sabang</t>
  </si>
  <si>
    <t xml:space="preserve">Kepulauan Mentawai</t>
  </si>
  <si>
    <t xml:space="preserve">Marine/Surf</t>
  </si>
  <si>
    <t xml:space="preserve">Jam Gadang, Bukittinggi</t>
  </si>
  <si>
    <t xml:space="preserve">Urban/Culture</t>
  </si>
  <si>
    <t xml:space="preserve">Istana Siak Sri Indrapura</t>
  </si>
  <si>
    <t xml:space="preserve">Pulau Bintan</t>
  </si>
  <si>
    <t xml:space="preserve">Marine/Resort</t>
  </si>
  <si>
    <t xml:space="preserve">Taman Nasional Kerinci Seblat</t>
  </si>
  <si>
    <t xml:space="preserve">Nature/Mountain</t>
  </si>
  <si>
    <t xml:space="preserve">Yes</t>
  </si>
  <si>
    <t xml:space="preserve">UNESCO World Heritage List — https://whc.unesco.org/en/list/</t>
  </si>
  <si>
    <t xml:space="preserve">Jembatan Ampera / Sungai Musi</t>
  </si>
  <si>
    <t xml:space="preserve">Pantai Tanjung Kelayang</t>
  </si>
  <si>
    <t xml:space="preserve">Y - KSPN Priority</t>
  </si>
  <si>
    <t xml:space="preserve">Danau Ranau</t>
  </si>
  <si>
    <t xml:space="preserve">Way Kambas National Park</t>
  </si>
  <si>
    <t xml:space="preserve">Kota Tua Jakarta</t>
  </si>
  <si>
    <t xml:space="preserve">Kepulauan Seribu</t>
  </si>
  <si>
    <t xml:space="preserve">Kawah Putih, Ciwidey</t>
  </si>
  <si>
    <t xml:space="preserve">Gunung Tangkuban Perahu</t>
  </si>
  <si>
    <t xml:space="preserve">Kawah Putih &amp; Kertajati corridor</t>
  </si>
  <si>
    <t xml:space="preserve">Candi Borobudur</t>
  </si>
  <si>
    <t xml:space="preserve">Culture/Religious</t>
  </si>
  <si>
    <t xml:space="preserve">Kota Lama Semarang</t>
  </si>
  <si>
    <t xml:space="preserve">Dataran Tinggi Dieng</t>
  </si>
  <si>
    <t xml:space="preserve">Malioboro</t>
  </si>
  <si>
    <t xml:space="preserve">Candi Prambanan</t>
  </si>
  <si>
    <t xml:space="preserve">Pantai Parangtritis</t>
  </si>
  <si>
    <t xml:space="preserve">Marine/Beach</t>
  </si>
  <si>
    <t xml:space="preserve">Gunung Bromo (Bromo Tengger Semeru NP)</t>
  </si>
  <si>
    <t xml:space="preserve">Kawah Ijen</t>
  </si>
  <si>
    <t xml:space="preserve">Jembatan Suramadu / Surabaya City</t>
  </si>
  <si>
    <t xml:space="preserve">Pantai Anyer</t>
  </si>
  <si>
    <t xml:space="preserve">Taman Nasional Ujung Kulon</t>
  </si>
  <si>
    <t xml:space="preserve">Nature/Marine</t>
  </si>
  <si>
    <t xml:space="preserve">Ubud</t>
  </si>
  <si>
    <t xml:space="preserve">Culture/Nature</t>
  </si>
  <si>
    <t xml:space="preserve">Kuta / Seminyak</t>
  </si>
  <si>
    <t xml:space="preserve">Marine/Urban</t>
  </si>
  <si>
    <t xml:space="preserve">Pura Besakih</t>
  </si>
  <si>
    <t xml:space="preserve">Religious/Culture</t>
  </si>
  <si>
    <t xml:space="preserve">Nusa Penida</t>
  </si>
  <si>
    <t xml:space="preserve">Gunung Batur &amp; Danau Batur</t>
  </si>
  <si>
    <t xml:space="preserve">Mandalika (Kuta Lombok)</t>
  </si>
  <si>
    <t xml:space="preserve">Gili Trawangan</t>
  </si>
  <si>
    <t xml:space="preserve">Gunung Rinjani</t>
  </si>
  <si>
    <t xml:space="preserve">Taman Nasional Komodo / Labuan Bajo</t>
  </si>
  <si>
    <t xml:space="preserve">Marine/Nature</t>
  </si>
  <si>
    <t xml:space="preserve">Danau Kelimutu</t>
  </si>
  <si>
    <t xml:space="preserve">Kampung Adat Wae Rebo</t>
  </si>
  <si>
    <t xml:space="preserve">Singkawang (Cap Go Meh)</t>
  </si>
  <si>
    <t xml:space="preserve">Culture/Urban</t>
  </si>
  <si>
    <t xml:space="preserve">Taman Nasional Tanjung Puting</t>
  </si>
  <si>
    <t xml:space="preserve">Pasar Terapung Lok Baintan</t>
  </si>
  <si>
    <t xml:space="preserve">Kepulauan Derawan</t>
  </si>
  <si>
    <t xml:space="preserve">Danau Sentarum</t>
  </si>
  <si>
    <t xml:space="preserve">Taman Nasional Bunaken</t>
  </si>
  <si>
    <t xml:space="preserve">Likupang</t>
  </si>
  <si>
    <t xml:space="preserve">Kepulauan Togean</t>
  </si>
  <si>
    <t xml:space="preserve">Kepulauan Wakatobi</t>
  </si>
  <si>
    <t xml:space="preserve">Danau Limboto</t>
  </si>
  <si>
    <t xml:space="preserve">Pantai Manakarra, Mamuju</t>
  </si>
  <si>
    <t xml:space="preserve">Kepulauan Banda</t>
  </si>
  <si>
    <t xml:space="preserve">Marine/Culture</t>
  </si>
  <si>
    <t xml:space="preserve">Pulau Morotai</t>
  </si>
  <si>
    <t xml:space="preserve">Marine/History</t>
  </si>
  <si>
    <t xml:space="preserve">Danau Sentani</t>
  </si>
  <si>
    <t xml:space="preserve">Lembah Baliem (Wamena)</t>
  </si>
  <si>
    <t xml:space="preserve">Culture/Mountain</t>
  </si>
  <si>
    <t xml:space="preserve">Taman Nasional Lorentz</t>
  </si>
  <si>
    <t xml:space="preserve">Taman Nasional Wasur</t>
  </si>
  <si>
    <t xml:space="preserve">Grand Canyon Nusantara, Sianok</t>
  </si>
  <si>
    <t xml:space="preserve">Danau Maninjau</t>
  </si>
  <si>
    <t xml:space="preserve">Pantai Pangandaran</t>
  </si>
  <si>
    <t xml:space="preserve">Gunung Semeru</t>
  </si>
  <si>
    <t xml:space="preserve">Y - KSPN Priority (BTS)</t>
  </si>
  <si>
    <t xml:space="preserve">Baluran National Park</t>
  </si>
  <si>
    <t xml:space="preserve">Pantai Sanur</t>
  </si>
  <si>
    <t xml:space="preserve">Tanjung Lesung</t>
  </si>
  <si>
    <t xml:space="preserve">Kepulauan Karimunjawa</t>
  </si>
  <si>
    <t xml:space="preserve">Taman Mini Indonesia Indah</t>
  </si>
  <si>
    <t xml:space="preserve">Ancol Dreamland</t>
  </si>
  <si>
    <t xml:space="preserve">Museum Angkut / Batu City</t>
  </si>
  <si>
    <t xml:space="preserve">Museum Tsunami Aceh</t>
  </si>
  <si>
    <t xml:space="preserve">Masjid Raya Baiturrahman</t>
  </si>
  <si>
    <t xml:space="preserve">Berastagi</t>
  </si>
  <si>
    <t xml:space="preserve">Lembah Harau</t>
  </si>
  <si>
    <t xml:space="preserve">Batam City</t>
  </si>
  <si>
    <t xml:space="preserve">Pulau Kemaro</t>
  </si>
  <si>
    <t xml:space="preserve">Pulau Lengkuas</t>
  </si>
  <si>
    <t xml:space="preserve">Benteng Marlborough</t>
  </si>
  <si>
    <t xml:space="preserve">Pulau Pahawang</t>
  </si>
  <si>
    <t xml:space="preserve">Monumen Nasional (Monas)</t>
  </si>
  <si>
    <t xml:space="preserve">Gunung Papandayan</t>
  </si>
  <si>
    <t xml:space="preserve">Situ Patenggang</t>
  </si>
  <si>
    <t xml:space="preserve">Candi Gedong Songo</t>
  </si>
  <si>
    <t xml:space="preserve">Kraton Yogyakarta</t>
  </si>
  <si>
    <t xml:space="preserve">Goa Pindul</t>
  </si>
  <si>
    <t xml:space="preserve">Pulau Sempu</t>
  </si>
  <si>
    <t xml:space="preserve">Gunung Kelud</t>
  </si>
  <si>
    <t xml:space="preserve">Kawasan Baduy</t>
  </si>
  <si>
    <t xml:space="preserve">Tanah Lot</t>
  </si>
  <si>
    <t xml:space="preserve">Religious/Marine</t>
  </si>
  <si>
    <t xml:space="preserve">Uluwatu</t>
  </si>
  <si>
    <t xml:space="preserve">Pulau Moyo</t>
  </si>
  <si>
    <t xml:space="preserve">Pulau Alor</t>
  </si>
  <si>
    <t xml:space="preserve">Istana Kadriah Pontianak</t>
  </si>
  <si>
    <t xml:space="preserve">Pegunungan Meratus</t>
  </si>
  <si>
    <t xml:space="preserve">Bukit Bangkirai</t>
  </si>
  <si>
    <t xml:space="preserve">Pulau Sebatik</t>
  </si>
  <si>
    <t xml:space="preserve">Dataran Tinggi Krayan</t>
  </si>
  <si>
    <t xml:space="preserve">Nature/Culture</t>
  </si>
  <si>
    <t xml:space="preserve">Danau Tondano</t>
  </si>
  <si>
    <t xml:space="preserve">Danau Poso</t>
  </si>
  <si>
    <t xml:space="preserve">Pantai Losari, Makassar</t>
  </si>
  <si>
    <t xml:space="preserve">Urban/Marine</t>
  </si>
  <si>
    <t xml:space="preserve">Pulau Labengki</t>
  </si>
  <si>
    <t xml:space="preserve">Pulau Saronde</t>
  </si>
  <si>
    <t xml:space="preserve">Pantai Ora</t>
  </si>
  <si>
    <t xml:space="preserve">Kota Ternate &amp; Kie Besi</t>
  </si>
  <si>
    <t xml:space="preserve">Puncak Jaya (Carstensz Pyramid)</t>
  </si>
  <si>
    <t xml:space="preserve">Pegunungan Arfak</t>
  </si>
  <si>
    <t xml:space="preserve">Danau Paniai</t>
  </si>
  <si>
    <t xml:space="preserve">06 — QRIS &amp; Digital Payment (National, Bank Indonesia)</t>
  </si>
  <si>
    <t xml:space="preserve">Merchant QRIS mayoritas UMKM (93.16% pada Semester I 2025). BI menargetkan 58 juta pengguna, 40 juta merchant, dan 5.5 miliar transaksi untuk keseluruhan tahun 2025.</t>
  </si>
  <si>
    <t xml:space="preserve">Period</t>
  </si>
  <si>
    <t xml:space="preserve">Users (million)</t>
  </si>
  <si>
    <t xml:space="preserve">Merchants (million)</t>
  </si>
  <si>
    <t xml:space="preserve">Transaction Volume</t>
  </si>
  <si>
    <t xml:space="preserve">Transaction Value</t>
  </si>
  <si>
    <t xml:space="preserve">Q1 2024 (Maret 2024)</t>
  </si>
  <si>
    <t xml:space="preserve">48.90</t>
  </si>
  <si>
    <t xml:space="preserve">31.86</t>
  </si>
  <si>
    <t xml:space="preserve">374 juta transaksi (Maret, mtm)</t>
  </si>
  <si>
    <t xml:space="preserve">Rp42 triliun (Maret, mtm)</t>
  </si>
  <si>
    <t xml:space="preserve">Bank Indonesia (BI) / Asosiasi Sistem Pembayaran Indonesia (ASPI)</t>
  </si>
  <si>
    <t xml:space="preserve">https://indonesia.go.id/kategori/editorial/8279/transaksi-digital-tumbuh-pesat?lang=1</t>
  </si>
  <si>
    <t xml:space="preserve">Q2 2024 (17 Jul 2024 RDG)</t>
  </si>
  <si>
    <t xml:space="preserve">50.50</t>
  </si>
  <si>
    <t xml:space="preserve">32.71</t>
  </si>
  <si>
    <t xml:space="preserve">-</t>
  </si>
  <si>
    <t xml:space="preserve">Bank Indonesia — Rapat Dewan Gubernur (RDG) Juli 2024</t>
  </si>
  <si>
    <t xml:space="preserve">https://www.komdigi.go.id/berita/ekonomi-digital/detail/transaksi-qris-melonjak-22654-revolusi-pembayaran-digital-di-indonesia</t>
  </si>
  <si>
    <t xml:space="preserve">Q3 2024 (6 Nov 2024)</t>
  </si>
  <si>
    <t xml:space="preserve">53.30</t>
  </si>
  <si>
    <t xml:space="preserve">34.23</t>
  </si>
  <si>
    <t xml:space="preserve">Bank Indonesia — Raker dengan Komisi XI DPR RI</t>
  </si>
  <si>
    <t xml:space="preserve">https://infobanknews.com/bi-targetkan-volume-transaksi-qris-tembus-55-miliar-di-2025</t>
  </si>
  <si>
    <t xml:space="preserve">Full year 2024</t>
  </si>
  <si>
    <t xml:space="preserve">Rp659.93 triliun (nominal transaksi tahun 2024)</t>
  </si>
  <si>
    <t xml:space="preserve">Bank Indonesia (dikutip GoodStats)</t>
  </si>
  <si>
    <t xml:space="preserve">https://goodstats.id/article/qris-tumbuh-pesat-sepanjang-2025-digunakan-lebih-dari-59-juta-orang-L9I0G</t>
  </si>
  <si>
    <t xml:space="preserve">Q1 2025 (7 Mei 2025)</t>
  </si>
  <si>
    <t xml:space="preserve">56.30</t>
  </si>
  <si>
    <t xml:space="preserve">38.10</t>
  </si>
  <si>
    <t xml:space="preserve">2.6 miliar transaksi (kumulatif)</t>
  </si>
  <si>
    <t xml:space="preserve">https://goodstats.id/article/transaksi-qris-tumbuh-hampir-600-pada-kuartal-i-2025-Wo7Cm</t>
  </si>
  <si>
    <t xml:space="preserve">Semester I 2025</t>
  </si>
  <si>
    <t xml:space="preserve">57.00</t>
  </si>
  <si>
    <t xml:space="preserve">39.30</t>
  </si>
  <si>
    <t xml:space="preserve">6.05 miliar transaksi (kumulatif)</t>
  </si>
  <si>
    <t xml:space="preserve">Rp579 triliun (kumulatif)</t>
  </si>
  <si>
    <t xml:space="preserve">Bank Indonesia — siaran pers resmi</t>
  </si>
  <si>
    <t xml:space="preserve">https://www.bi.go.id/id/publikasi/ruang-media/news-release/Pages/sp_2717025.aspx</t>
  </si>
  <si>
    <t xml:space="preserve">07 — BCA Ecosystem (Official Disclosures)</t>
  </si>
  <si>
    <t xml:space="preserve">Sourced to BCA Annual Report 2024 (filed with IDX) and BCA's official press releases (bca.co.id). All figures are as officially disclosed by BCA; none are estimated.</t>
  </si>
  <si>
    <t xml:space="preserve">myBCA active users</t>
  </si>
  <si>
    <t xml:space="preserve">7.7 juta akun</t>
  </si>
  <si>
    <t xml:space="preserve">Dec 2024</t>
  </si>
  <si>
    <t xml:space="preserve">BCA (press release)</t>
  </si>
  <si>
    <t xml:space="preserve">https://voi.id/en/economy/463087</t>
  </si>
  <si>
    <t xml:space="preserve">myBCA total transactions</t>
  </si>
  <si>
    <t xml:space="preserve">6.9 miliar transaksi</t>
  </si>
  <si>
    <t xml:space="preserve">FY2024</t>
  </si>
  <si>
    <t xml:space="preserve">https://www.bca.co.id/en/tentang-bca/media-riset/pressroom/siaran-pers/2025/02/24/03/44/bca-ungkap-3-penopang-pertumbuhan-transaksi-mybca</t>
  </si>
  <si>
    <t xml:space="preserve">myBCA transaction frequency growth</t>
  </si>
  <si>
    <t xml:space="preserve">+128% YoY</t>
  </si>
  <si>
    <t xml:space="preserve">myBCA QRIS transactions growth</t>
  </si>
  <si>
    <t xml:space="preserve">+554% YoY</t>
  </si>
  <si>
    <t xml:space="preserve">BCA &amp; subsidiaries total transaction volume</t>
  </si>
  <si>
    <t xml:space="preserve">8.3 miliar transaksi (+20.8% YoY)</t>
  </si>
  <si>
    <t xml:space="preserve">Q1 2024</t>
  </si>
  <si>
    <t xml:space="preserve">https://www.bca.co.id/en/tentang-bca/media-riset/pressroom/siaran-pers/2024/04/23/07/12/kredit-bca-tumbuh-17-1-kinerja-solid-di-seluruh-segmen</t>
  </si>
  <si>
    <t xml:space="preserve">BCA mobile + internet banking transactions</t>
  </si>
  <si>
    <t xml:space="preserve">7.2 miliar transaksi (+23.5% YoY)</t>
  </si>
  <si>
    <t xml:space="preserve">BCA daily transactions processed</t>
  </si>
  <si>
    <t xml:space="preserve">98 juta transaksi/hari (+21% YoY)</t>
  </si>
  <si>
    <t xml:space="preserve">BCA Annual Report 2024 (Laporan Tahunan 2024)</t>
  </si>
  <si>
    <t xml:space="preserve">https://www.idx.co.id/StaticData/NewsAndAnnouncement/ANNOUNCEMENTSTOCK/From_EREP/202502/95321f45a7_27c1dd00c0.pdf</t>
  </si>
  <si>
    <t xml:space="preserve">BCA &amp; subsidiaries total loans</t>
  </si>
  <si>
    <t xml:space="preserve">Rp835.7 triliun (+17.1% YoY)</t>
  </si>
  <si>
    <t xml:space="preserve">Mar 2024</t>
  </si>
  <si>
    <t xml:space="preserve">BCA &amp; subsidiaries net profit</t>
  </si>
  <si>
    <t xml:space="preserve">Rp12.9 triliun (+11.7% YoY)</t>
  </si>
  <si>
    <t xml:space="preserve">New merchant registrations via digital app</t>
  </si>
  <si>
    <t xml:space="preserve">65% of new merchant onboarding done digitally</t>
  </si>
  <si>
    <t xml:space="preserve">BCA Annual Report 2024</t>
  </si>
  <si>
    <t xml:space="preserve">09 — Reference Master (every official source used, once each)</t>
  </si>
  <si>
    <t xml:space="preserve">#</t>
  </si>
  <si>
    <t xml:space="preserve">Official Organization</t>
  </si>
  <si>
    <t xml:space="preserve">BPS (Badan Pusat Statistik)</t>
  </si>
  <si>
    <t xml:space="preserve">Statistik Wisatawan Nasional 2024 (outbound)</t>
  </si>
  <si>
    <t xml:space="preserve">Kementerian Pariwisata RI (data diolah dari BPS)</t>
  </si>
  <si>
    <t xml:space="preserve">Jumlah Perjalanan Wisatawan Nusantara Menurut Provinsi Asal, 2024-2025</t>
  </si>
  <si>
    <t xml:space="preserve">Kementerian Dalam Negeri — Ditjen Dukcapil</t>
  </si>
  <si>
    <t xml:space="preserve">Data Kependudukan Semester II 2024 (diolah Dataloka.id)</t>
  </si>
  <si>
    <t xml:space="preserve">Siaran Pers — QRIS Jelajah Indonesia 2025 (Semester I 2025 data)</t>
  </si>
  <si>
    <t xml:space="preserve">Rapat Dewan Gubernur — QRIS Q2/Q3 2024 growth figures</t>
  </si>
  <si>
    <t xml:space="preserve">QRIS full-year 2024 nominal transaction value</t>
  </si>
  <si>
    <t xml:space="preserve">2025/2026</t>
  </si>
  <si>
    <t xml:space="preserve">PT Bank Central Asia Tbk (BCA)</t>
  </si>
  <si>
    <t xml:space="preserve">Laporan Tahunan 2024 (Annual Report 2024, IDX filing)</t>
  </si>
  <si>
    <t xml:space="preserve">Siaran Pers — Kredit BCA tumbuh 17.1%, kinerja solid Q1 2024</t>
  </si>
  <si>
    <t xml:space="preserve">Siaran Pers — 3 penopang pertumbuhan transaksi myBCA</t>
  </si>
  <si>
    <t xml:space="preserve">World Heritage List (Indonesia sites)</t>
  </si>
  <si>
    <t xml:space="preserve">current</t>
  </si>
  <si>
    <t xml:space="preserve">https://whc.unesco.org/en/list/</t>
  </si>
  <si>
    <t xml:space="preserve">Travel &amp; Tourism Development Index — Experience Economy</t>
  </si>
  <si>
    <t xml:space="preserve">EY (Ernst &amp; Young)</t>
  </si>
  <si>
    <t xml:space="preserve">Future Travel Behaviors Observatory: 2025 Edition</t>
  </si>
  <si>
    <t xml:space="preserve">Kemenparekraf (Kementerian Pariwisata dan Ekonomi Kreatif)</t>
  </si>
  <si>
    <t xml:space="preserve">RIPPARNAS / Rencana Induk Pembangunan Pariwisata Nasional — KSPN designation</t>
  </si>
  <si>
    <t xml:space="preserve">Statistik Hotel dan Akomodasi Lainnya di Indonesia 2024</t>
  </si>
  <si>
    <t xml:space="preserve">https://www.bps.go.id/en/publication/2024/12/31/18e46811848c05eabc2831a7/statistik-hotel-dan-akomodasi-lainnya-di-indonesia-2024.html</t>
  </si>
  <si>
    <t xml:space="preserve">BPS (compiled via Databoks/Katadata)</t>
  </si>
  <si>
    <t xml:space="preserve">Rata-rata Lama Menginap Tamu di Hotel Berbintang Menurut Provinsi</t>
  </si>
  <si>
    <t xml:space="preserve">https://databoks.katadata.co.id/en/demographics/multiple/3e7144f7a8754cf/rata-rata-lama-menginap-tamu-total-asing-dan-indonesia-di-hotel-bintang-menurut-provinsi</t>
  </si>
  <si>
    <t xml:space="preserve">SiteMinder (commercial, NOT official — flagged in 11_Accommodation)</t>
  </si>
  <si>
    <t xml:space="preserve">Hotel Booking Trends 2024 report</t>
  </si>
  <si>
    <t xml:space="preserve">https://www.tempo.co/hiburan/tarif-kamar-hotel-di-indonesia-meningkat-pada-2024-1197977</t>
  </si>
  <si>
    <t xml:space="preserve">Statistik Transportasi Udara 2024</t>
  </si>
  <si>
    <t xml:space="preserve">https://www.bps.go.id/en/publication/2025/12/01/bc846757b984590277001b43/statistik-transportasi-udara-2024.html</t>
  </si>
  <si>
    <t xml:space="preserve">Kementerian Investasi/BKPM</t>
  </si>
  <si>
    <t xml:space="preserve">Data Realisasi Investasi (LKPM) 2024</t>
  </si>
  <si>
    <t xml:space="preserve">https://ekonomi.bisnis.com/read/20250211/12/1838731/investasi-sektor-hotel-restoran-masih-rendah-bkpm-ungkap-datanya</t>
  </si>
  <si>
    <t xml:space="preserve">PT Bank Central Asia Tbk</t>
  </si>
  <si>
    <t xml:space="preserve">Kinerja Keuangan BCA dan Entitas Anak Tahun 2024 (Konferensi Pers, 23 Jan 2025)</t>
  </si>
  <si>
    <t xml:space="preserve">https://www.antaranews.com/berita/4604138/bca-dan-entitas-anak-raih-laba-bersih-rp548-triliun-pada-2024</t>
  </si>
  <si>
    <t xml:space="preserve">Ketentuan MDR QRIS (Surat Deputi Gubernur BI No. 26/3/KEP.DpG/2024)</t>
  </si>
  <si>
    <t xml:space="preserve">https://www.bi.go.id/id/publikasi/ruang-media/cerita-bi/Pages/mdr-qris.aspx</t>
  </si>
  <si>
    <t xml:space="preserve">10 — QA Audit Log</t>
  </si>
  <si>
    <t xml:space="preserve">Check</t>
  </si>
  <si>
    <t xml:space="preserve">Finding</t>
  </si>
  <si>
    <t xml:space="preserve">Action Taken</t>
  </si>
  <si>
    <t xml:space="preserve">Duplicates</t>
  </si>
  <si>
    <t xml:space="preserve">None found among the 106 destination rows (name+province checked).</t>
  </si>
  <si>
    <t xml:space="preserve">No action needed.</t>
  </si>
  <si>
    <t xml:space="preserve">Placeholders / 'NOT YET COLLECTED' / 'NOT PUBLICLY AVAILABLE'</t>
  </si>
  <si>
    <t xml:space="preserve">V2 contained these across 01_Data_Dictionary (7 indicator rows), 02_Province_Master (population blanks for 24/38 provinces), 03_Destination_Master (Publication/Year/URL blank for all 106 rows), 04_Province_KPI (37/38 province rows entirely blank).</t>
  </si>
  <si>
    <t xml:space="preserve">All removed from data sheets. 7 indicators dropped from the roadmap. Population re-sourced to one consistent official series for all 38 provinces. Destination Publication/Year/URL columns replaced with an honest Reference Basis column. 04_Province_KPI (unpopulated) replaced with 04_Province_Domestic_Trips, populated with real Jan-Jun 2024/2025 data for all 38 provinces.</t>
  </si>
  <si>
    <t xml:space="preserve">Mixed years / vintages</t>
  </si>
  <si>
    <t xml:space="preserve">V2 mixed BPS Statistical Yearbook 2024 (partial provinces) with no source for others.</t>
  </si>
  <si>
    <t xml:space="preserve">Standardized all 38 provinces to a single Dec-2024 Dukcapil series; flagged in 00_README that trip data is Jan-Jun semester cumulative, not full-year, to prevent misuse alongside the full-year national KPI.</t>
  </si>
  <si>
    <t xml:space="preserve">Broken relationships</t>
  </si>
  <si>
    <t xml:space="preserve">V2's derived indicators (e.g. Travel Penetration Rate = trips/population) referenced province KPI cells that were blank, so the formula had no valid inputs.</t>
  </si>
  <si>
    <t xml:space="preserve">Derived/composite indicators requiring unpopulated inputs are listed in 01_Indicator_Roadmap only, not computed on blank data.</t>
  </si>
  <si>
    <t xml:space="preserve">Unused worksheets/indicators</t>
  </si>
  <si>
    <t xml:space="preserve">V2 included 10_Opportunity_Framework, 11_Dashboard_Mapping, 12_Data_Coverage, 13_Reference_Master, 14_Final_QA_Summary as largely structural/empty scaffolding sheets.</t>
  </si>
  <si>
    <t xml:space="preserve">Consolidated into this single QA log + 09_Reference_Master; scaffolding sheets without verified content were not carried forward.</t>
  </si>
  <si>
    <t xml:space="preserve">Destination count vs brief target (~100)</t>
  </si>
  <si>
    <t xml:space="preserve">V2 held 106 destinations.</t>
  </si>
  <si>
    <t xml:space="preserve">Kept at 106 (all provinces represented, including Kalimantan Utara and Papua Barat which had zero entries before V2) — slightly above the ~100 target rather than cutting real coverage.</t>
  </si>
  <si>
    <t xml:space="preserve">Reused-vs-collected labeling</t>
  </si>
  <si>
    <t xml:space="preserve">Brief requires reusing the verified PDF's exact figures without re-searching them.</t>
  </si>
  <si>
    <t xml:space="preserve">03_National_KPI and the outbound/QRIS-cross-border/destination-growth blocks are reused verbatim from the supplied PDF; all other data sheets carry sources collected fresh in this pass.</t>
  </si>
  <si>
    <t xml:space="preserve">11 — Accommodation (Hotels &amp; Other Lodging)</t>
  </si>
  <si>
    <t xml:space="preserve">National figures and star-classification breakdown are official BPS data (full-year 2024, published Dec 2024). Province rows are limited to the Top 10 by star-hotel count as compiled from BPS by secondary sources (IndonesiaBaik.id/Komdigi, Kompas TV) — the other 28 provinces are NOT shown rather than estimated, since BPS's own interactive table portal blocks automated access and the official PDF's download link could not be fetched in this pass. TPK (occupancy rate) and length-of-stay Top 10 rows are separately sourced BPS figures for different reference months (see each block). The average room rate row is EXPLICITLY a non-official/commercial source (SiteMinder booking-engine analytics), flagged in amber — do not treat it as government data. Note: Bali holds the most 5-star hotels nationally (123) despite ranking #2 in total star hotels — the highest concentration of luxury/premium hospitality supply in the country.</t>
  </si>
  <si>
    <t xml:space="preserve">National Totals</t>
  </si>
  <si>
    <t xml:space="preserve">Total accommodation businesses (all types)</t>
  </si>
  <si>
    <t xml:space="preserve">31,175 (+7.84% YoY)</t>
  </si>
  <si>
    <t xml:space="preserve">Star-rated hotels (total)</t>
  </si>
  <si>
    <t xml:space="preserve">4,584</t>
  </si>
  <si>
    <t xml:space="preserve">Non-star accommodations (total)</t>
  </si>
  <si>
    <t xml:space="preserve">26,591</t>
  </si>
  <si>
    <t xml:space="preserve">1-star hotels</t>
  </si>
  <si>
    <t xml:space="preserve">514</t>
  </si>
  <si>
    <t xml:space="preserve">2-star hotels</t>
  </si>
  <si>
    <t xml:space="preserve">1,079</t>
  </si>
  <si>
    <t xml:space="preserve">3-star hotels</t>
  </si>
  <si>
    <t xml:space="preserve">1,755</t>
  </si>
  <si>
    <t xml:space="preserve">4-star hotels</t>
  </si>
  <si>
    <t xml:space="preserve">940</t>
  </si>
  <si>
    <t xml:space="preserve">5-star hotels</t>
  </si>
  <si>
    <t xml:space="preserve">296</t>
  </si>
  <si>
    <t xml:space="preserve">Share of star hotels located in Java + Bali</t>
  </si>
  <si>
    <t xml:space="preserve">60.62%</t>
  </si>
  <si>
    <t xml:space="preserve">Total accommodation industry revenue</t>
  </si>
  <si>
    <t xml:space="preserve">Rp188.64 triliun (+155.82% YoY)</t>
  </si>
  <si>
    <t xml:space="preserve">National hotel occupancy rate (TPK), star hotels</t>
  </si>
  <si>
    <t xml:space="preserve">54.03% (May 2024 reading)</t>
  </si>
  <si>
    <t xml:space="preserve">National average length of stay, star hotels (all guests)</t>
  </si>
  <si>
    <t xml:space="preserve">1.62 nights (May 2024 reading)</t>
  </si>
  <si>
    <t xml:space="preserve">National average length of stay, star hotels (foreign guests)</t>
  </si>
  <si>
    <t xml:space="preserve">2.67 nights (May 2024 reading)</t>
  </si>
  <si>
    <t xml:space="preserve">Top 10 Provinces — Star Hotel Count (2024)</t>
  </si>
  <si>
    <t xml:space="preserve">Star Hotels</t>
  </si>
  <si>
    <t xml:space="preserve">Total Accommodations</t>
  </si>
  <si>
    <t xml:space="preserve">BPS (compiled via IndonesiaBaik.id/Komdigi, Kompas TV)</t>
  </si>
  <si>
    <t xml:space="preserve">Top 10 Provinces — Average Length of Stay, Star Hotels, All Guests (2024, annual)</t>
  </si>
  <si>
    <t xml:space="preserve">Avg. Length of Stay (nights)</t>
  </si>
  <si>
    <t xml:space="preserve">YoY Change</t>
  </si>
  <si>
    <t xml:space="preserve">+10.04%</t>
  </si>
  <si>
    <t xml:space="preserve">+95.2%</t>
  </si>
  <si>
    <t xml:space="preserve">+16.16%</t>
  </si>
  <si>
    <t xml:space="preserve">+40%</t>
  </si>
  <si>
    <t xml:space="preserve">+4.23%</t>
  </si>
  <si>
    <t xml:space="preserve">Average Room Rate — NON-OFFICIAL / COMMERCIAL SOURCE (amber = do not treat as government data)</t>
  </si>
  <si>
    <t xml:space="preserve">Source (commercial, NOT official)</t>
  </si>
  <si>
    <t xml:space="preserve">Average hotel room rate, national</t>
  </si>
  <si>
    <t xml:space="preserve">Rp2,673,874 peak (Aug); Rp2,097,091 low (Sat); +8% YoY overall</t>
  </si>
  <si>
    <t xml:space="preserve">SiteMinder (private booking-engine analytics company)</t>
  </si>
  <si>
    <t xml:space="preserve">SiteMinder Hotel Booking Trends 2024 report (as cited by Tempo.co)</t>
  </si>
  <si>
    <t xml:space="preserve">NOT an official government statistic. BPS does not publish average room rates. Included for business context only, kept visually separated (amber) from official BPS rows above.</t>
  </si>
  <si>
    <t xml:space="preserve">12 — Air Transportation (Domestic &amp; International)</t>
  </si>
  <si>
    <t xml:space="preserve">Official BPS air-transport passenger statistics, full-year 2024 (departing passengers, all carriers, from Indonesian airports). International figures count ALL passengers on international flights (Indonesian + foreign), not only Indonesian citizens — do not confuse with the WNI-outbound-trip figure in 03_National_KPI (9,165,894), which is a different BPS metric (citizens' own trips) with different coverage. Province/airport-level breakdown could not be completed to all 38 provinces in this pass for the same access-restriction reason noted in 11_Accommodation.</t>
  </si>
  <si>
    <t xml:space="preserve">Domestic air passengers (departing)</t>
  </si>
  <si>
    <t xml:space="preserve">63,700,000 (+1.76% YoY)</t>
  </si>
  <si>
    <t xml:space="preserve">Full-year 2024</t>
  </si>
  <si>
    <t xml:space="preserve">Statistik Transportasi Udara 2024 / Berita Resmi Statistik Transportasi bulanan</t>
  </si>
  <si>
    <t xml:space="preserve">https://supplychainindonesia.com/analisis-perkembangan-transportasi-udara-tahun-2024/</t>
  </si>
  <si>
    <t xml:space="preserve">International air passengers (departing)</t>
  </si>
  <si>
    <t xml:space="preserve">19,000,000</t>
  </si>
  <si>
    <t xml:space="preserve">Domestic air passengers, December 2024</t>
  </si>
  <si>
    <t xml:space="preserve">5,900,000 (+19.29% MoM)</t>
  </si>
  <si>
    <t xml:space="preserve">International air passengers, December 2024</t>
  </si>
  <si>
    <t xml:space="preserve">1,700,000 (+9.76% MoM)</t>
  </si>
  <si>
    <t xml:space="preserve">Domestic air passengers, Jan-Aug 2024 cumulative</t>
  </si>
  <si>
    <t xml:space="preserve">42,000,000 (+1.50% YoY)</t>
  </si>
  <si>
    <t xml:space="preserve">Jan-Aug 2024</t>
  </si>
  <si>
    <t xml:space="preserve">International air passengers, Jan-Aug 2024 cumulative</t>
  </si>
  <si>
    <t xml:space="preserve">12,300,000 (+23.94% YoY)</t>
  </si>
  <si>
    <t xml:space="preserve">Full BPS publication (all 38 provinces, per-airport detail)</t>
  </si>
  <si>
    <t xml:space="preserve">Available as official publication</t>
  </si>
  <si>
    <t xml:space="preserve">13 — Investment &amp; Potential Sector (Hotel &amp; Restaurant)</t>
  </si>
  <si>
    <t xml:space="preserve">Official investment realization data from Kementerian Investasi/BKPM (LKPM — Laporan Kegiatan Penanaman Modal). This directly supports the 'potential sector' business question: the hotel &amp; restaurant sub-sector is a mid-tier (not top-10) investment destination nationally, suggesting room for growth relative to tourism demand shown elsewhere in this workbook.</t>
  </si>
  <si>
    <t xml:space="preserve">Hotel &amp; restaurant sector — domestic investment (PMDN)</t>
  </si>
  <si>
    <t xml:space="preserve">Rp24.14 triliun (rank #13 of 23 sectors)</t>
  </si>
  <si>
    <t xml:space="preserve">Data Realisasi Investasi (LKPM) — Kementerian Investasi/BKPM</t>
  </si>
  <si>
    <t xml:space="preserve">Hotel &amp; restaurant sector — foreign investment (PMA)</t>
  </si>
  <si>
    <t xml:space="preserve">Rp14 triliun (rank #16 of 23 sectors)</t>
  </si>
  <si>
    <t xml:space="preserve">Hotel &amp; restaurant sector — PMDN, Q3 2024</t>
  </si>
  <si>
    <t xml:space="preserve">Rp16.97 triliun, 17,093 projects</t>
  </si>
  <si>
    <t xml:space="preserve">Jul-Sep 2024</t>
  </si>
  <si>
    <t xml:space="preserve">Hotel &amp; restaurant sector — PMA, Q3 2024</t>
  </si>
  <si>
    <t xml:space="preserve">US$793.05 million (~Rp11.89 triliun), 8,999 projects</t>
  </si>
  <si>
    <t xml:space="preserve">Hotel &amp; restaurant sector contribution, Q3 2024 (of national total)</t>
  </si>
  <si>
    <t xml:space="preserve">Rp9.71 triliun of Rp431.48 triliun total</t>
  </si>
  <si>
    <t xml:space="preserve">Bali — tourism sector (hotel &amp; restaurant) investment, 5-year cumulative</t>
  </si>
  <si>
    <t xml:space="preserve">Rp31 triliun (36.3% of Bali's total investment)</t>
  </si>
  <si>
    <t xml:space="preserve">2020-2024</t>
  </si>
  <si>
    <t xml:space="preserve">Bali — tourism sector PMDN, 5-year cumulative</t>
  </si>
  <si>
    <t xml:space="preserve">Rp15.19 triliun (48.7% of Bali's tourism-sector investment)</t>
  </si>
  <si>
    <t xml:space="preserve">14 — BCA Official Financial Statements (FY2024, Consolidated)</t>
  </si>
  <si>
    <t xml:space="preserve">Sourced to BCA's own official year-end results press conference (Konferensi Pers Paparan Kinerja BCA, 23 Jan 2025), led by President Director Jahja Setiaatmadja, and cross-verified across multiple independent financial press outlets (Antara, Bisnis.com, Kontan, Bareksa, IPOTNews) that all report identical figures — no discrepancies found. This is a management-disclosed summary, not the full audited financial statements; for line-by-line audited figures see BCA's Annual Report 2024 (IDX filing) linked in the last row below. Figures are for BCA and consolidated subsidiaries.</t>
  </si>
  <si>
    <t xml:space="preserve">Income Statement — FY2024</t>
  </si>
  <si>
    <t xml:space="preserve">Line Item</t>
  </si>
  <si>
    <t xml:space="preserve">FY2023</t>
  </si>
  <si>
    <t xml:space="preserve">YoY Growth</t>
  </si>
  <si>
    <t xml:space="preserve">Net Interest Income (NII)</t>
  </si>
  <si>
    <t xml:space="preserve">Rp82.3 triliun</t>
  </si>
  <si>
    <t xml:space="preserve">+9.5%</t>
  </si>
  <si>
    <t xml:space="preserve">PT Bank Central Asia Tbk (BCA) — Konferensi Pers Paparan Kinerja BCA, 23 Januari 2025</t>
  </si>
  <si>
    <t xml:space="preserve">Kinerja Keuangan BCA dan Entitas Anak Tahun 2024 (Audited, Consolidated)</t>
  </si>
  <si>
    <t xml:space="preserve">Non-Interest Income (fee-based)</t>
  </si>
  <si>
    <t xml:space="preserve">Rp25.2 triliun</t>
  </si>
  <si>
    <t xml:space="preserve">+10.2%</t>
  </si>
  <si>
    <t xml:space="preserve">Total Operating Income</t>
  </si>
  <si>
    <t xml:space="preserve">Rp107.4 triliun</t>
  </si>
  <si>
    <t xml:space="preserve">+9.7%</t>
  </si>
  <si>
    <t xml:space="preserve">Provision Expense</t>
  </si>
  <si>
    <t xml:space="preserve">Rp2 triliun</t>
  </si>
  <si>
    <t xml:space="preserve">Net Profit (BCA + Subsidiaries)</t>
  </si>
  <si>
    <t xml:space="preserve">Rp54.8 triliun</t>
  </si>
  <si>
    <t xml:space="preserve">Rp48.6 triliun</t>
  </si>
  <si>
    <t xml:space="preserve">+12.7%</t>
  </si>
  <si>
    <t xml:space="preserve">Credit Portfolio / Balance Sheet — as of December 2024</t>
  </si>
  <si>
    <t xml:space="preserve">% of Total Credit</t>
  </si>
  <si>
    <t xml:space="preserve">Total Credit Disbursed</t>
  </si>
  <si>
    <t xml:space="preserve">Rp922 triliun</t>
  </si>
  <si>
    <t xml:space="preserve">+13.8%</t>
  </si>
  <si>
    <t xml:space="preserve">100%</t>
  </si>
  <si>
    <t xml:space="preserve">— Corporate Credit</t>
  </si>
  <si>
    <t xml:space="preserve">Rp426.8 triliun</t>
  </si>
  <si>
    <t xml:space="preserve">+15.7%</t>
  </si>
  <si>
    <t xml:space="preserve">46.3%</t>
  </si>
  <si>
    <t xml:space="preserve">— Commercial Credit</t>
  </si>
  <si>
    <t xml:space="preserve">Rp137.9 triliun</t>
  </si>
  <si>
    <t xml:space="preserve">+8.9%</t>
  </si>
  <si>
    <t xml:space="preserve">15.0%</t>
  </si>
  <si>
    <t xml:space="preserve">— SME (UKM) Credit</t>
  </si>
  <si>
    <t xml:space="preserve">Rp123.8 triliun</t>
  </si>
  <si>
    <t xml:space="preserve">+14.8%</t>
  </si>
  <si>
    <t xml:space="preserve">13.4%</t>
  </si>
  <si>
    <t xml:space="preserve">— Consumer Credit (total)</t>
  </si>
  <si>
    <t xml:space="preserve">Rp223.7 triliun</t>
  </si>
  <si>
    <t xml:space="preserve">+12.4%</t>
  </si>
  <si>
    <t xml:space="preserve">24.3%</t>
  </si>
  <si>
    <t xml:space="preserve">    — Vehicle Loans (KKB)</t>
  </si>
  <si>
    <t xml:space="preserve">Rp65.3 triliun</t>
  </si>
  <si>
    <t xml:space="preserve">7.1%</t>
  </si>
  <si>
    <t xml:space="preserve">    — Mortgage (KPR)</t>
  </si>
  <si>
    <t xml:space="preserve">Rp135.5 triliun</t>
  </si>
  <si>
    <t xml:space="preserve">+11.2%</t>
  </si>
  <si>
    <t xml:space="preserve">14.7%</t>
  </si>
  <si>
    <t xml:space="preserve">    — Other Consumer (incl. credit card)</t>
  </si>
  <si>
    <t xml:space="preserve">Rp22.9 triliun</t>
  </si>
  <si>
    <t xml:space="preserve">+12.8%</t>
  </si>
  <si>
    <t xml:space="preserve">2.5%</t>
  </si>
  <si>
    <t xml:space="preserve">Sustainable-Sector Lending</t>
  </si>
  <si>
    <t xml:space="preserve">Rp229 triliun</t>
  </si>
  <si>
    <t xml:space="preserve">+12.5%</t>
  </si>
  <si>
    <t xml:space="preserve">24.8%</t>
  </si>
  <si>
    <t xml:space="preserve">CASA (Current Account + Savings)</t>
  </si>
  <si>
    <t xml:space="preserve">Rp924 triliun</t>
  </si>
  <si>
    <t xml:space="preserve">+4.4%</t>
  </si>
  <si>
    <t xml:space="preserve">82% of total DPK</t>
  </si>
  <si>
    <t xml:space="preserve">Total DPK (Third-Party Funds)</t>
  </si>
  <si>
    <t xml:space="preserve">Rp1,134 triliun</t>
  </si>
  <si>
    <t xml:space="preserve">+2.9%</t>
  </si>
  <si>
    <t xml:space="preserve">Total Assets</t>
  </si>
  <si>
    <t xml:space="preserve">Rp1,449.3 triliun</t>
  </si>
  <si>
    <t xml:space="preserve">vs Rp1,408.1T (2023)</t>
  </si>
  <si>
    <t xml:space="preserve">Non-Performing Loan (NPL) ratio</t>
  </si>
  <si>
    <t xml:space="preserve">1.8%</t>
  </si>
  <si>
    <t xml:space="preserve">Loan at Risk (LAR) ratio</t>
  </si>
  <si>
    <t xml:space="preserve">5.3%</t>
  </si>
  <si>
    <t xml:space="preserve">improved from 6.9% (2023)</t>
  </si>
  <si>
    <t xml:space="preserve">Total customer accounts</t>
  </si>
  <si>
    <t xml:space="preserve">41+ juta</t>
  </si>
  <si>
    <t xml:space="preserve">Total transaction frequency (all channels)</t>
  </si>
  <si>
    <t xml:space="preserve">36 miliar</t>
  </si>
  <si>
    <t xml:space="preserve">+21%</t>
  </si>
  <si>
    <t xml:space="preserve">Mobile + internet banking transaction frequency</t>
  </si>
  <si>
    <t xml:space="preserve">31.6 miliar</t>
  </si>
  <si>
    <t xml:space="preserve">+24%</t>
  </si>
  <si>
    <t xml:space="preserve">Full audited financial statements (line-by-line)</t>
  </si>
  <si>
    <t xml:space="preserve">Available as official filing</t>
  </si>
  <si>
    <t xml:space="preserve">PT Bank Central Asia Tbk / Indonesia Stock Exchange (IDX)</t>
  </si>
  <si>
    <t xml:space="preserve">Laporan Tahunan 2024 (Annual Report, IDX filing)</t>
  </si>
  <si>
    <t xml:space="preserve">15 — Financial Projection Model (QRIS Tourism-Corridor Opportunity)</t>
  </si>
  <si>
    <t xml:space="preserve">IMPORTANT — read before using this sheet. This is a MODEL, not official data. Every row is tagged either OFFICIAL INPUT (a real, sourced, regulated or published figure) or TEAM ASSUMPTION (a judgment call this team is making, clearly separated so it can be challenged or changed). No official publication states what share of QRIS fee revenue BCA specifically captures per province — that split across acquirers/issuers is not publicly disclosed by BI or BCA, so this model does NOT invent one number. Instead it computes the TOTAL addressable QRIS fee pool from official inputs, then shows BCA's revenue under three explicit market-share scenarios (Low/Base/High) so the reader judges the assumption, not us.</t>
  </si>
  <si>
    <t xml:space="preserve">Step 1 — Official Inputs</t>
  </si>
  <si>
    <t xml:space="preserve">Input</t>
  </si>
  <si>
    <t xml:space="preserve">Type</t>
  </si>
  <si>
    <t xml:space="preserve">QRIS MDR — Usaha Mikro (UMI), transactions &gt; Rp500,000</t>
  </si>
  <si>
    <t xml:space="preserve">0.3%</t>
  </si>
  <si>
    <t xml:space="preserve">OFFICIAL INPUT (regulated rate)</t>
  </si>
  <si>
    <t xml:space="preserve">Surat Deputi Gubernur BI No. 26/3/KEP.DpG/2024; RDG Februari 2025</t>
  </si>
  <si>
    <t xml:space="preserve">QRIS MDR — Usaha Kecil/Menengah/Besar (UKE/UME/UBE)</t>
  </si>
  <si>
    <t xml:space="preserve">0.7%</t>
  </si>
  <si>
    <t xml:space="preserve">National QRIS transaction value, Semester I 2025 (cumulative)</t>
  </si>
  <si>
    <t xml:space="preserve">Rp579 triliun</t>
  </si>
  <si>
    <t xml:space="preserve">OFFICIAL INPUT</t>
  </si>
  <si>
    <t xml:space="preserve">Siaran Pers QRIS Jelajah Indonesia 2025</t>
  </si>
  <si>
    <t xml:space="preserve">National domestic trip growth, Jan-Jun 2025 vs 2024</t>
  </si>
  <si>
    <t xml:space="preserve">+17.70%</t>
  </si>
  <si>
    <t xml:space="preserve">Kementerian Pariwisata RI (diolah dari BPS)</t>
  </si>
  <si>
    <t xml:space="preserve">Perjalanan Wisnus Menurut Provinsi Asal 2024-2025</t>
  </si>
  <si>
    <t xml:space="preserve">High-growth province trip growth (avg. of provinces &gt;30% growth, this workbook)</t>
  </si>
  <si>
    <t xml:space="preserve">See 04_Province_Domestic_Trips</t>
  </si>
  <si>
    <t xml:space="preserve">OFFICIAL INPUT (derived from BPS data already in this workbook)</t>
  </si>
  <si>
    <t xml:space="preserve">BPS / Kementerian Pariwisata RI</t>
  </si>
  <si>
    <t xml:space="preserve">Step 2 — Team Assumptions (explicitly NOT official data)</t>
  </si>
  <si>
    <t xml:space="preserve">Assumption</t>
  </si>
  <si>
    <t xml:space="preserve">Low Case</t>
  </si>
  <si>
    <t xml:space="preserve">Base Case</t>
  </si>
  <si>
    <t xml:space="preserve">High Case</t>
  </si>
  <si>
    <t xml:space="preserve">Rationale (team judgment, not sourced)</t>
  </si>
  <si>
    <t xml:space="preserve">BCA's share of QRIS merchant acquiring in target tourism provinces</t>
  </si>
  <si>
    <t xml:space="preserve">5%</t>
  </si>
  <si>
    <t xml:space="preserve">12%</t>
  </si>
  <si>
    <t xml:space="preserve">20%</t>
  </si>
  <si>
    <t xml:space="preserve">BCA is a top-3 acquirer nationally by transaction value (per public commentary) but does not disclose a province-level or category-level QRIS acquiring market share; this range reflects a conservative-to-optimistic spread a team would need to validate with BCA directly before using in a real business case.</t>
  </si>
  <si>
    <t xml:space="preserve">Incremental tourism-driven QRIS volume growth, target provinces (annualized)</t>
  </si>
  <si>
    <t xml:space="preserve">15%</t>
  </si>
  <si>
    <t xml:space="preserve">25%</t>
  </si>
  <si>
    <t xml:space="preserve">35%</t>
  </si>
  <si>
    <t xml:space="preserve">Anchored to this workbook's real high-growth-province trip data (many provinces already show +40-120% Jan-Jun trip growth), discounted down because trip growth != QRIS volume growth 1:1 — assumption, not measured.</t>
  </si>
  <si>
    <t xml:space="preserve">Step 3 — Resulting Addressable Revenue Range (calculated, not official)</t>
  </si>
  <si>
    <t xml:space="preserve">Scenario</t>
  </si>
  <si>
    <t xml:space="preserve">Assumed BCA Acquiring Share</t>
  </si>
  <si>
    <t xml:space="preserve">Assumed Incremental QRIS Growth (Tourism Corridor)</t>
  </si>
  <si>
    <t xml:space="preserve">Illustrative Annual Revenue Range for BCA</t>
  </si>
  <si>
    <t xml:space="preserve">Basis</t>
  </si>
  <si>
    <t xml:space="preserve">Low</t>
  </si>
  <si>
    <t xml:space="preserve">Tens of billions of Rupiah (low single-digit % of BCA's Rp25.2T non-interest income)</t>
  </si>
  <si>
    <t xml:space="preserve">Conservative: small share of a modest incremental slice of the national Rp579T semester QRIS pool, blended MDR ~0.3-0.7%</t>
  </si>
  <si>
    <t xml:space="preserve">Base</t>
  </si>
  <si>
    <t xml:space="preserve">Low hundreds of billions of Rupiah</t>
  </si>
  <si>
    <t xml:space="preserve">Mid-range assumption; still under 1% of BCA's total FY2024 non-interest income (Rp25.2T) — directionally material but not transformative on its own</t>
  </si>
  <si>
    <t xml:space="preserve">High</t>
  </si>
  <si>
    <t xml:space="preserve">Several hundred billion Rupiah</t>
  </si>
  <si>
    <t xml:space="preserve">Optimistic case assuming aggressive, successful merchant-acquisition execution in tourism corridors</t>
  </si>
  <si>
    <t xml:space="preserve">Read this table as an ORDER-OF-MAGNITUDE framework for discussion, not a forecast to quote as fact. The precise Rupiah figures are intentionally left as ranges/descriptions rather than single numbers, because presenting false precision from an admittedly assumption-driven model would misrepresent it as official data. If BCA's actual QRIS acquiring economics become available, replace Step 2's assumptions and this table recalculates automatically in spirit (manually update the range descriptions).</t>
  </si>
</sst>
</file>

<file path=xl/styles.xml><?xml version="1.0" encoding="utf-8"?>
<styleSheet xmlns="http://schemas.openxmlformats.org/spreadsheetml/2006/main">
  <numFmts count="3">
    <numFmt numFmtId="164" formatCode="General"/>
    <numFmt numFmtId="165" formatCode="#,##0"/>
    <numFmt numFmtId="166" formatCode="0.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1F386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b val="true"/>
      <sz val="11"/>
      <name val="Arial"/>
      <family val="0"/>
      <charset val="1"/>
    </font>
    <font>
      <b val="true"/>
      <sz val="11"/>
      <color rgb="FF9C6500"/>
      <name val="Arial"/>
      <family val="0"/>
      <charset val="1"/>
    </font>
    <font>
      <b val="true"/>
      <sz val="9"/>
      <color rgb="FF1F6B3A"/>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F2F2F2"/>
        <bgColor rgb="FFFFFFFF"/>
      </patternFill>
    </fill>
    <fill>
      <patternFill patternType="solid">
        <fgColor rgb="FFC6E0B4"/>
        <bgColor rgb="FFBFBFB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5" fontId="8" fillId="4" borderId="1" xfId="0" applyFont="true" applyBorder="true" applyAlignment="true" applyProtection="false">
      <alignment horizontal="general" vertical="top"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bottom" textRotation="0" wrapText="false" indent="0" shrinkToFit="false"/>
      <protection locked="true" hidden="false"/>
    </xf>
    <xf numFmtId="165" fontId="9" fillId="5"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6" fontId="8" fillId="4" borderId="1" xfId="0" applyFont="true" applyBorder="true" applyAlignment="true" applyProtection="false">
      <alignment horizontal="general"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5" fontId="9" fillId="5" borderId="1" xfId="0" applyFont="true" applyBorder="true" applyAlignment="true" applyProtection="false">
      <alignment horizontal="general" vertical="top" textRotation="0" wrapText="false" indent="0" shrinkToFit="false"/>
      <protection locked="true" hidden="false"/>
    </xf>
    <xf numFmtId="166" fontId="9" fillId="5" borderId="1" xfId="0" applyFont="true" applyBorder="true" applyAlignment="true" applyProtection="false">
      <alignment horizontal="general"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F6B3A"/>
      <rgbColor rgb="FF000080"/>
      <rgbColor rgb="FF9C65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16"/>
  </cols>
  <sheetData>
    <row r="1" customFormat="false" ht="24" hidden="false" customHeight="true" outlineLevel="0" collapsed="false">
      <c r="A1" s="2" t="s">
        <v>0</v>
      </c>
      <c r="B1" s="2"/>
      <c r="C1" s="2"/>
      <c r="D1" s="2"/>
      <c r="E1" s="2"/>
      <c r="F1" s="2"/>
    </row>
    <row r="3" customFormat="false" ht="15.75" hidden="false" customHeight="true" outlineLevel="0" collapsed="false">
      <c r="A3" s="3" t="s">
        <v>1</v>
      </c>
      <c r="B3" s="3"/>
      <c r="C3" s="3"/>
      <c r="D3" s="3"/>
      <c r="E3" s="3"/>
      <c r="F3" s="3"/>
    </row>
    <row r="4" customFormat="false" ht="42" hidden="false" customHeight="true" outlineLevel="0" collapsed="false">
      <c r="A4" s="4" t="s">
        <v>2</v>
      </c>
      <c r="B4" s="4"/>
      <c r="C4" s="4"/>
      <c r="D4" s="4"/>
      <c r="E4" s="4"/>
      <c r="F4" s="4"/>
    </row>
    <row r="6" customFormat="false" ht="15.75" hidden="false" customHeight="true" outlineLevel="0" collapsed="false">
      <c r="A6" s="3" t="s">
        <v>3</v>
      </c>
      <c r="B6" s="3"/>
      <c r="C6" s="3"/>
      <c r="D6" s="3"/>
      <c r="E6" s="3"/>
      <c r="F6" s="3"/>
    </row>
    <row r="7" customFormat="false" ht="15.75" hidden="false" customHeight="true" outlineLevel="0" collapsed="false">
      <c r="A7" s="3" t="s">
        <v>4</v>
      </c>
      <c r="B7" s="3"/>
      <c r="C7" s="3"/>
      <c r="D7" s="3"/>
      <c r="E7" s="3"/>
      <c r="F7" s="3"/>
    </row>
    <row r="8" customFormat="false" ht="15.75" hidden="false" customHeight="true" outlineLevel="0" collapsed="false">
      <c r="A8" s="3" t="s">
        <v>5</v>
      </c>
      <c r="B8" s="3"/>
      <c r="C8" s="3"/>
      <c r="D8" s="3"/>
      <c r="E8" s="3"/>
      <c r="F8" s="3"/>
    </row>
    <row r="9" customFormat="false" ht="15.75" hidden="false" customHeight="true" outlineLevel="0" collapsed="false">
      <c r="A9" s="3" t="s">
        <v>6</v>
      </c>
      <c r="B9" s="3"/>
      <c r="C9" s="3"/>
      <c r="D9" s="3"/>
      <c r="E9" s="3"/>
      <c r="F9" s="3"/>
    </row>
    <row r="10" customFormat="false" ht="15.75" hidden="false" customHeight="true" outlineLevel="0" collapsed="false">
      <c r="A10" s="3" t="s">
        <v>7</v>
      </c>
      <c r="B10" s="3"/>
      <c r="C10" s="3"/>
      <c r="D10" s="3"/>
      <c r="E10" s="3"/>
      <c r="F10" s="3"/>
    </row>
    <row r="11" customFormat="false" ht="15.75" hidden="false" customHeight="true" outlineLevel="0" collapsed="false">
      <c r="A11" s="3" t="s">
        <v>8</v>
      </c>
      <c r="B11" s="3"/>
      <c r="C11" s="3"/>
      <c r="D11" s="3"/>
      <c r="E11" s="3"/>
      <c r="F11" s="3"/>
    </row>
    <row r="13" customFormat="false" ht="15.75" hidden="false" customHeight="true" outlineLevel="0" collapsed="false">
      <c r="A13" s="3" t="s">
        <v>9</v>
      </c>
      <c r="B13" s="3"/>
      <c r="C13" s="3"/>
      <c r="D13" s="3"/>
      <c r="E13" s="3"/>
      <c r="F13" s="3"/>
    </row>
    <row r="14" customFormat="false" ht="13.5" hidden="false" customHeight="true" outlineLevel="0" collapsed="false">
      <c r="A14" s="4" t="s">
        <v>10</v>
      </c>
      <c r="B14" s="4"/>
      <c r="C14" s="4"/>
      <c r="D14" s="4"/>
      <c r="E14" s="4"/>
      <c r="F14" s="4"/>
    </row>
    <row r="15" customFormat="false" ht="27.75" hidden="false" customHeight="true" outlineLevel="0" collapsed="false">
      <c r="A15" s="4" t="s">
        <v>11</v>
      </c>
      <c r="B15" s="4"/>
      <c r="C15" s="4"/>
      <c r="D15" s="4"/>
      <c r="E15" s="4"/>
      <c r="F15" s="4"/>
    </row>
    <row r="16" customFormat="false" ht="13.5" hidden="false" customHeight="true" outlineLevel="0" collapsed="false">
      <c r="A16" s="4" t="s">
        <v>12</v>
      </c>
      <c r="B16" s="4"/>
      <c r="C16" s="4"/>
      <c r="D16" s="4"/>
      <c r="E16" s="4"/>
      <c r="F16" s="4"/>
    </row>
    <row r="17" customFormat="false" ht="13.5" hidden="false" customHeight="true" outlineLevel="0" collapsed="false">
      <c r="A17" s="4" t="s">
        <v>13</v>
      </c>
      <c r="B17" s="4"/>
      <c r="C17" s="4"/>
      <c r="D17" s="4"/>
      <c r="E17" s="4"/>
      <c r="F17" s="4"/>
    </row>
    <row r="19" customFormat="false" ht="13.5" hidden="false" customHeight="true" outlineLevel="0" collapsed="false">
      <c r="A19" s="4" t="s">
        <v>14</v>
      </c>
      <c r="B19" s="4"/>
      <c r="C19" s="4"/>
      <c r="D19" s="4"/>
      <c r="E19" s="4"/>
      <c r="F19" s="4"/>
    </row>
  </sheetData>
  <mergeCells count="15">
    <mergeCell ref="A1:F1"/>
    <mergeCell ref="A3:F3"/>
    <mergeCell ref="A4:F4"/>
    <mergeCell ref="A6:F6"/>
    <mergeCell ref="A7:F7"/>
    <mergeCell ref="A8:F8"/>
    <mergeCell ref="A9:F9"/>
    <mergeCell ref="A10:F10"/>
    <mergeCell ref="A11:F11"/>
    <mergeCell ref="A13:F13"/>
    <mergeCell ref="A14:F14"/>
    <mergeCell ref="A15:F15"/>
    <mergeCell ref="A16:F16"/>
    <mergeCell ref="A17:F17"/>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24"/>
    <col collapsed="false" customWidth="true" hidden="false" outlineLevel="0" max="4" min="4" style="1" width="26"/>
    <col collapsed="false" customWidth="true" hidden="false" outlineLevel="0" max="5" min="5" style="1" width="16"/>
    <col collapsed="false" customWidth="true" hidden="false" outlineLevel="0" max="6" min="6" style="1" width="34"/>
    <col collapsed="false" customWidth="true" hidden="false" outlineLevel="0" max="7" min="7" style="1" width="20"/>
    <col collapsed="false" customWidth="true" hidden="false" outlineLevel="0" max="8" min="8" style="1" width="4"/>
  </cols>
  <sheetData>
    <row r="1" customFormat="false" ht="24" hidden="false" customHeight="true" outlineLevel="0" collapsed="false">
      <c r="A1" s="2" t="s">
        <v>15</v>
      </c>
      <c r="B1" s="2"/>
      <c r="C1" s="2"/>
      <c r="D1" s="2"/>
      <c r="E1" s="2"/>
      <c r="F1" s="2"/>
      <c r="G1" s="2"/>
      <c r="H1" s="2"/>
    </row>
    <row r="2" customFormat="false" ht="69.75" hidden="false" customHeight="true" outlineLevel="0" collapsed="false">
      <c r="A2" s="4" t="s">
        <v>16</v>
      </c>
      <c r="B2" s="4"/>
      <c r="C2" s="4"/>
      <c r="D2" s="4"/>
      <c r="E2" s="4"/>
      <c r="F2" s="4"/>
      <c r="G2" s="4"/>
      <c r="H2" s="4"/>
    </row>
    <row r="4" customFormat="false" ht="27.75" hidden="false" customHeight="true" outlineLevel="0" collapsed="false">
      <c r="A4" s="5" t="s">
        <v>17</v>
      </c>
      <c r="B4" s="5" t="s">
        <v>18</v>
      </c>
      <c r="C4" s="5" t="s">
        <v>19</v>
      </c>
      <c r="D4" s="5" t="s">
        <v>20</v>
      </c>
      <c r="E4" s="5" t="s">
        <v>21</v>
      </c>
      <c r="F4" s="5" t="s">
        <v>22</v>
      </c>
      <c r="G4" s="5" t="s">
        <v>23</v>
      </c>
      <c r="H4" s="5" t="s">
        <v>24</v>
      </c>
    </row>
    <row r="5" customFormat="false" ht="23.25" hidden="false" customHeight="true" outlineLevel="0" collapsed="false">
      <c r="A5" s="6" t="s">
        <v>25</v>
      </c>
      <c r="B5" s="6" t="s">
        <v>26</v>
      </c>
      <c r="C5" s="6" t="s">
        <v>27</v>
      </c>
      <c r="D5" s="6" t="s">
        <v>28</v>
      </c>
      <c r="E5" s="6" t="s">
        <v>29</v>
      </c>
      <c r="F5" s="6" t="s">
        <v>30</v>
      </c>
      <c r="G5" s="7" t="s">
        <v>31</v>
      </c>
      <c r="H5" s="6"/>
    </row>
    <row r="6" customFormat="false" ht="23.25" hidden="false" customHeight="true" outlineLevel="0" collapsed="false">
      <c r="A6" s="8" t="s">
        <v>25</v>
      </c>
      <c r="B6" s="8" t="s">
        <v>32</v>
      </c>
      <c r="C6" s="8" t="s">
        <v>27</v>
      </c>
      <c r="D6" s="8" t="s">
        <v>28</v>
      </c>
      <c r="E6" s="8" t="s">
        <v>29</v>
      </c>
      <c r="F6" s="8" t="s">
        <v>33</v>
      </c>
      <c r="G6" s="9" t="s">
        <v>34</v>
      </c>
      <c r="H6" s="8"/>
    </row>
    <row r="7" customFormat="false" ht="23.25" hidden="false" customHeight="true" outlineLevel="0" collapsed="false">
      <c r="A7" s="6" t="s">
        <v>25</v>
      </c>
      <c r="B7" s="6" t="s">
        <v>35</v>
      </c>
      <c r="C7" s="6" t="s">
        <v>27</v>
      </c>
      <c r="D7" s="6" t="s">
        <v>28</v>
      </c>
      <c r="E7" s="6" t="s">
        <v>29</v>
      </c>
      <c r="F7" s="6" t="s">
        <v>33</v>
      </c>
      <c r="G7" s="7" t="s">
        <v>34</v>
      </c>
      <c r="H7" s="6"/>
    </row>
    <row r="8" customFormat="false" ht="23.25" hidden="false" customHeight="true" outlineLevel="0" collapsed="false">
      <c r="A8" s="8" t="s">
        <v>25</v>
      </c>
      <c r="B8" s="8" t="s">
        <v>36</v>
      </c>
      <c r="C8" s="8" t="s">
        <v>27</v>
      </c>
      <c r="D8" s="8" t="s">
        <v>37</v>
      </c>
      <c r="E8" s="8" t="s">
        <v>29</v>
      </c>
      <c r="F8" s="8" t="s">
        <v>33</v>
      </c>
      <c r="G8" s="9" t="s">
        <v>34</v>
      </c>
      <c r="H8" s="8"/>
    </row>
    <row r="9" customFormat="false" ht="23.25" hidden="false" customHeight="true" outlineLevel="0" collapsed="false">
      <c r="A9" s="6" t="s">
        <v>25</v>
      </c>
      <c r="B9" s="6" t="s">
        <v>38</v>
      </c>
      <c r="C9" s="6" t="s">
        <v>27</v>
      </c>
      <c r="D9" s="6" t="s">
        <v>39</v>
      </c>
      <c r="E9" s="6" t="s">
        <v>29</v>
      </c>
      <c r="F9" s="6" t="s">
        <v>33</v>
      </c>
      <c r="G9" s="7" t="s">
        <v>34</v>
      </c>
      <c r="H9" s="6"/>
    </row>
    <row r="10" customFormat="false" ht="23.25" hidden="false" customHeight="true" outlineLevel="0" collapsed="false">
      <c r="A10" s="8" t="s">
        <v>25</v>
      </c>
      <c r="B10" s="8" t="s">
        <v>40</v>
      </c>
      <c r="C10" s="8" t="s">
        <v>41</v>
      </c>
      <c r="D10" s="8" t="s">
        <v>42</v>
      </c>
      <c r="E10" s="8" t="s">
        <v>29</v>
      </c>
      <c r="F10" s="8" t="s">
        <v>33</v>
      </c>
      <c r="G10" s="9" t="s">
        <v>34</v>
      </c>
      <c r="H10" s="8"/>
    </row>
    <row r="11" customFormat="false" ht="23.25" hidden="false" customHeight="true" outlineLevel="0" collapsed="false">
      <c r="A11" s="6" t="s">
        <v>43</v>
      </c>
      <c r="B11" s="6" t="s">
        <v>44</v>
      </c>
      <c r="C11" s="6" t="s">
        <v>45</v>
      </c>
      <c r="D11" s="6" t="s">
        <v>46</v>
      </c>
      <c r="E11" s="6" t="s">
        <v>47</v>
      </c>
      <c r="F11" s="6" t="s">
        <v>30</v>
      </c>
      <c r="G11" s="7" t="s">
        <v>48</v>
      </c>
      <c r="H11" s="6"/>
    </row>
    <row r="12" customFormat="false" ht="15" hidden="false" customHeight="true" outlineLevel="0" collapsed="false">
      <c r="A12" s="8" t="s">
        <v>43</v>
      </c>
      <c r="B12" s="8" t="s">
        <v>49</v>
      </c>
      <c r="C12" s="8" t="s">
        <v>27</v>
      </c>
      <c r="D12" s="8" t="s">
        <v>50</v>
      </c>
      <c r="E12" s="8" t="s">
        <v>47</v>
      </c>
      <c r="F12" s="8" t="s">
        <v>30</v>
      </c>
      <c r="G12" s="9" t="s">
        <v>48</v>
      </c>
      <c r="H12" s="8"/>
    </row>
    <row r="13" customFormat="false" ht="23.25" hidden="false" customHeight="true" outlineLevel="0" collapsed="false">
      <c r="A13" s="6" t="s">
        <v>43</v>
      </c>
      <c r="B13" s="6" t="s">
        <v>51</v>
      </c>
      <c r="C13" s="6" t="s">
        <v>52</v>
      </c>
      <c r="D13" s="6" t="s">
        <v>46</v>
      </c>
      <c r="E13" s="6" t="s">
        <v>47</v>
      </c>
      <c r="F13" s="6" t="s">
        <v>33</v>
      </c>
      <c r="G13" s="7" t="s">
        <v>34</v>
      </c>
      <c r="H13" s="6"/>
    </row>
    <row r="14" customFormat="false" ht="23.25" hidden="false" customHeight="true" outlineLevel="0" collapsed="false">
      <c r="A14" s="8" t="s">
        <v>43</v>
      </c>
      <c r="B14" s="8" t="s">
        <v>53</v>
      </c>
      <c r="C14" s="8" t="s">
        <v>45</v>
      </c>
      <c r="D14" s="8" t="s">
        <v>54</v>
      </c>
      <c r="E14" s="8" t="s">
        <v>47</v>
      </c>
      <c r="F14" s="8" t="s">
        <v>33</v>
      </c>
      <c r="G14" s="9" t="s">
        <v>34</v>
      </c>
      <c r="H14" s="8"/>
    </row>
    <row r="15" customFormat="false" ht="15" hidden="false" customHeight="true" outlineLevel="0" collapsed="false">
      <c r="A15" s="6" t="s">
        <v>55</v>
      </c>
      <c r="B15" s="6" t="s">
        <v>56</v>
      </c>
      <c r="C15" s="6" t="s">
        <v>27</v>
      </c>
      <c r="D15" s="6" t="s">
        <v>50</v>
      </c>
      <c r="E15" s="6" t="s">
        <v>29</v>
      </c>
      <c r="F15" s="6" t="s">
        <v>30</v>
      </c>
      <c r="G15" s="7" t="s">
        <v>57</v>
      </c>
      <c r="H15" s="6"/>
    </row>
    <row r="16" customFormat="false" ht="15" hidden="false" customHeight="true" outlineLevel="0" collapsed="false">
      <c r="A16" s="8" t="s">
        <v>55</v>
      </c>
      <c r="B16" s="8" t="s">
        <v>58</v>
      </c>
      <c r="C16" s="8" t="s">
        <v>27</v>
      </c>
      <c r="D16" s="8" t="s">
        <v>50</v>
      </c>
      <c r="E16" s="8" t="s">
        <v>29</v>
      </c>
      <c r="F16" s="8" t="s">
        <v>30</v>
      </c>
      <c r="G16" s="9" t="s">
        <v>57</v>
      </c>
      <c r="H16" s="8"/>
    </row>
    <row r="17" customFormat="false" ht="23.25" hidden="false" customHeight="true" outlineLevel="0" collapsed="false">
      <c r="A17" s="6" t="s">
        <v>55</v>
      </c>
      <c r="B17" s="6" t="s">
        <v>59</v>
      </c>
      <c r="C17" s="6" t="s">
        <v>60</v>
      </c>
      <c r="D17" s="6" t="s">
        <v>61</v>
      </c>
      <c r="E17" s="6" t="s">
        <v>29</v>
      </c>
      <c r="F17" s="6" t="s">
        <v>33</v>
      </c>
      <c r="G17" s="7" t="s">
        <v>34</v>
      </c>
      <c r="H17" s="6"/>
    </row>
    <row r="18" customFormat="false" ht="15" hidden="false" customHeight="true" outlineLevel="0" collapsed="false">
      <c r="A18" s="8" t="s">
        <v>55</v>
      </c>
      <c r="B18" s="8" t="s">
        <v>62</v>
      </c>
      <c r="C18" s="8" t="s">
        <v>27</v>
      </c>
      <c r="D18" s="8" t="s">
        <v>50</v>
      </c>
      <c r="E18" s="8" t="s">
        <v>29</v>
      </c>
      <c r="F18" s="8" t="s">
        <v>30</v>
      </c>
      <c r="G18" s="9" t="s">
        <v>48</v>
      </c>
      <c r="H18" s="8"/>
    </row>
    <row r="19" customFormat="false" ht="23.25" hidden="false" customHeight="true" outlineLevel="0" collapsed="false">
      <c r="A19" s="6" t="s">
        <v>55</v>
      </c>
      <c r="B19" s="6" t="s">
        <v>63</v>
      </c>
      <c r="C19" s="6" t="s">
        <v>27</v>
      </c>
      <c r="D19" s="6" t="s">
        <v>50</v>
      </c>
      <c r="E19" s="6" t="s">
        <v>29</v>
      </c>
      <c r="F19" s="6" t="s">
        <v>33</v>
      </c>
      <c r="G19" s="7" t="s">
        <v>34</v>
      </c>
      <c r="H19" s="6"/>
    </row>
    <row r="20" customFormat="false" ht="23.25" hidden="false" customHeight="true" outlineLevel="0" collapsed="false">
      <c r="A20" s="8" t="s">
        <v>55</v>
      </c>
      <c r="B20" s="8" t="s">
        <v>64</v>
      </c>
      <c r="C20" s="8" t="s">
        <v>27</v>
      </c>
      <c r="D20" s="8" t="s">
        <v>50</v>
      </c>
      <c r="E20" s="8" t="s">
        <v>29</v>
      </c>
      <c r="F20" s="8" t="s">
        <v>33</v>
      </c>
      <c r="G20" s="9" t="s">
        <v>34</v>
      </c>
      <c r="H20" s="8"/>
    </row>
    <row r="21" customFormat="false" ht="23.25" hidden="false" customHeight="true" outlineLevel="0" collapsed="false">
      <c r="A21" s="6" t="s">
        <v>55</v>
      </c>
      <c r="B21" s="6" t="s">
        <v>65</v>
      </c>
      <c r="C21" s="6" t="s">
        <v>27</v>
      </c>
      <c r="D21" s="6" t="s">
        <v>66</v>
      </c>
      <c r="E21" s="6" t="s">
        <v>29</v>
      </c>
      <c r="F21" s="6" t="s">
        <v>33</v>
      </c>
      <c r="G21" s="7" t="s">
        <v>34</v>
      </c>
      <c r="H21" s="6"/>
    </row>
    <row r="22" customFormat="false" ht="23.25" hidden="false" customHeight="true" outlineLevel="0" collapsed="false">
      <c r="A22" s="8" t="s">
        <v>67</v>
      </c>
      <c r="B22" s="8" t="s">
        <v>68</v>
      </c>
      <c r="C22" s="8" t="s">
        <v>27</v>
      </c>
      <c r="D22" s="8" t="s">
        <v>50</v>
      </c>
      <c r="E22" s="8" t="s">
        <v>47</v>
      </c>
      <c r="F22" s="8" t="s">
        <v>33</v>
      </c>
      <c r="G22" s="9" t="s">
        <v>34</v>
      </c>
      <c r="H22" s="8"/>
    </row>
    <row r="23" customFormat="false" ht="23.25" hidden="false" customHeight="true" outlineLevel="0" collapsed="false">
      <c r="A23" s="6" t="s">
        <v>67</v>
      </c>
      <c r="B23" s="6" t="s">
        <v>69</v>
      </c>
      <c r="C23" s="6" t="s">
        <v>27</v>
      </c>
      <c r="D23" s="6" t="s">
        <v>50</v>
      </c>
      <c r="E23" s="6" t="s">
        <v>47</v>
      </c>
      <c r="F23" s="6" t="s">
        <v>33</v>
      </c>
      <c r="G23" s="7" t="s">
        <v>34</v>
      </c>
      <c r="H23" s="6"/>
    </row>
    <row r="24" customFormat="false" ht="23.25" hidden="false" customHeight="true" outlineLevel="0" collapsed="false">
      <c r="A24" s="8" t="s">
        <v>67</v>
      </c>
      <c r="B24" s="8" t="s">
        <v>70</v>
      </c>
      <c r="C24" s="8" t="s">
        <v>27</v>
      </c>
      <c r="D24" s="8" t="s">
        <v>50</v>
      </c>
      <c r="E24" s="8" t="s">
        <v>47</v>
      </c>
      <c r="F24" s="8" t="s">
        <v>33</v>
      </c>
      <c r="G24" s="9" t="s">
        <v>34</v>
      </c>
      <c r="H24" s="8"/>
    </row>
    <row r="25" customFormat="false" ht="23.25" hidden="false" customHeight="true" outlineLevel="0" collapsed="false">
      <c r="A25" s="6" t="s">
        <v>67</v>
      </c>
      <c r="B25" s="6" t="s">
        <v>71</v>
      </c>
      <c r="C25" s="6" t="s">
        <v>27</v>
      </c>
      <c r="D25" s="6" t="s">
        <v>72</v>
      </c>
      <c r="E25" s="6" t="s">
        <v>47</v>
      </c>
      <c r="F25" s="6" t="s">
        <v>33</v>
      </c>
      <c r="G25" s="7" t="s">
        <v>34</v>
      </c>
      <c r="H25" s="6"/>
    </row>
    <row r="26" customFormat="false" ht="23.25" hidden="false" customHeight="true" outlineLevel="0" collapsed="false">
      <c r="A26" s="8" t="s">
        <v>67</v>
      </c>
      <c r="B26" s="8" t="s">
        <v>73</v>
      </c>
      <c r="C26" s="8" t="s">
        <v>27</v>
      </c>
      <c r="D26" s="8" t="s">
        <v>50</v>
      </c>
      <c r="E26" s="8" t="s">
        <v>47</v>
      </c>
      <c r="F26" s="8" t="s">
        <v>33</v>
      </c>
      <c r="G26" s="9" t="s">
        <v>34</v>
      </c>
      <c r="H26" s="8"/>
    </row>
    <row r="27" customFormat="false" ht="23.25" hidden="false" customHeight="true" outlineLevel="0" collapsed="false">
      <c r="A27" s="6" t="s">
        <v>67</v>
      </c>
      <c r="B27" s="6" t="s">
        <v>74</v>
      </c>
      <c r="C27" s="6" t="s">
        <v>27</v>
      </c>
      <c r="D27" s="6" t="s">
        <v>50</v>
      </c>
      <c r="E27" s="6" t="s">
        <v>47</v>
      </c>
      <c r="F27" s="6" t="s">
        <v>33</v>
      </c>
      <c r="G27" s="7" t="s">
        <v>34</v>
      </c>
      <c r="H27" s="6"/>
    </row>
    <row r="28" customFormat="false" ht="23.25" hidden="false" customHeight="true" outlineLevel="0" collapsed="false">
      <c r="A28" s="8" t="s">
        <v>67</v>
      </c>
      <c r="B28" s="8" t="s">
        <v>75</v>
      </c>
      <c r="C28" s="8" t="s">
        <v>27</v>
      </c>
      <c r="D28" s="8" t="s">
        <v>50</v>
      </c>
      <c r="E28" s="8" t="s">
        <v>47</v>
      </c>
      <c r="F28" s="8" t="s">
        <v>33</v>
      </c>
      <c r="G28" s="9" t="s">
        <v>34</v>
      </c>
      <c r="H28" s="8"/>
    </row>
    <row r="29" customFormat="false" ht="23.25" hidden="false" customHeight="true" outlineLevel="0" collapsed="false">
      <c r="A29" s="6" t="s">
        <v>76</v>
      </c>
      <c r="B29" s="6" t="s">
        <v>77</v>
      </c>
      <c r="C29" s="6" t="s">
        <v>27</v>
      </c>
      <c r="D29" s="6" t="s">
        <v>50</v>
      </c>
      <c r="E29" s="6" t="s">
        <v>29</v>
      </c>
      <c r="F29" s="6" t="s">
        <v>33</v>
      </c>
      <c r="G29" s="7" t="s">
        <v>34</v>
      </c>
      <c r="H29" s="6"/>
    </row>
    <row r="30" customFormat="false" ht="23.25" hidden="false" customHeight="true" outlineLevel="0" collapsed="false">
      <c r="A30" s="8" t="s">
        <v>76</v>
      </c>
      <c r="B30" s="8" t="s">
        <v>78</v>
      </c>
      <c r="C30" s="8" t="s">
        <v>27</v>
      </c>
      <c r="D30" s="8" t="s">
        <v>50</v>
      </c>
      <c r="E30" s="8" t="s">
        <v>29</v>
      </c>
      <c r="F30" s="8" t="s">
        <v>33</v>
      </c>
      <c r="G30" s="9" t="s">
        <v>34</v>
      </c>
      <c r="H30" s="8"/>
    </row>
    <row r="31" customFormat="false" ht="23.25" hidden="false" customHeight="true" outlineLevel="0" collapsed="false">
      <c r="A31" s="6" t="s">
        <v>76</v>
      </c>
      <c r="B31" s="6" t="s">
        <v>79</v>
      </c>
      <c r="C31" s="6" t="s">
        <v>27</v>
      </c>
      <c r="D31" s="6" t="s">
        <v>50</v>
      </c>
      <c r="E31" s="6" t="s">
        <v>47</v>
      </c>
      <c r="F31" s="6" t="s">
        <v>33</v>
      </c>
      <c r="G31" s="7" t="s">
        <v>34</v>
      </c>
      <c r="H31" s="6"/>
    </row>
    <row r="32" customFormat="false" ht="23.25" hidden="false" customHeight="true" outlineLevel="0" collapsed="false">
      <c r="A32" s="8" t="s">
        <v>76</v>
      </c>
      <c r="B32" s="8" t="s">
        <v>80</v>
      </c>
      <c r="C32" s="8" t="s">
        <v>81</v>
      </c>
      <c r="D32" s="8" t="s">
        <v>82</v>
      </c>
      <c r="E32" s="8" t="s">
        <v>47</v>
      </c>
      <c r="F32" s="8" t="s">
        <v>33</v>
      </c>
      <c r="G32" s="9" t="s">
        <v>34</v>
      </c>
      <c r="H32" s="8"/>
    </row>
    <row r="33" customFormat="false" ht="23.25" hidden="false" customHeight="true" outlineLevel="0" collapsed="false">
      <c r="A33" s="6" t="s">
        <v>76</v>
      </c>
      <c r="B33" s="6" t="s">
        <v>83</v>
      </c>
      <c r="C33" s="6" t="s">
        <v>27</v>
      </c>
      <c r="D33" s="6" t="s">
        <v>50</v>
      </c>
      <c r="E33" s="6" t="s">
        <v>47</v>
      </c>
      <c r="F33" s="6" t="s">
        <v>33</v>
      </c>
      <c r="G33" s="7" t="s">
        <v>34</v>
      </c>
      <c r="H33" s="6"/>
    </row>
    <row r="34" customFormat="false" ht="23.25" hidden="false" customHeight="true" outlineLevel="0" collapsed="false">
      <c r="A34" s="8" t="s">
        <v>76</v>
      </c>
      <c r="B34" s="8" t="s">
        <v>84</v>
      </c>
      <c r="C34" s="8" t="s">
        <v>27</v>
      </c>
      <c r="D34" s="8" t="s">
        <v>50</v>
      </c>
      <c r="E34" s="8" t="s">
        <v>47</v>
      </c>
      <c r="F34" s="8" t="s">
        <v>33</v>
      </c>
      <c r="G34" s="9" t="s">
        <v>34</v>
      </c>
      <c r="H34" s="8"/>
    </row>
    <row r="35" customFormat="false" ht="23.25" hidden="false" customHeight="true" outlineLevel="0" collapsed="false">
      <c r="A35" s="6" t="s">
        <v>76</v>
      </c>
      <c r="B35" s="6" t="s">
        <v>85</v>
      </c>
      <c r="C35" s="6" t="s">
        <v>27</v>
      </c>
      <c r="D35" s="6" t="s">
        <v>50</v>
      </c>
      <c r="E35" s="6" t="s">
        <v>47</v>
      </c>
      <c r="F35" s="6" t="s">
        <v>33</v>
      </c>
      <c r="G35" s="7" t="s">
        <v>34</v>
      </c>
      <c r="H35" s="6"/>
    </row>
    <row r="36" customFormat="false" ht="23.25" hidden="false" customHeight="true" outlineLevel="0" collapsed="false">
      <c r="A36" s="8" t="s">
        <v>76</v>
      </c>
      <c r="B36" s="8" t="s">
        <v>86</v>
      </c>
      <c r="C36" s="8" t="s">
        <v>27</v>
      </c>
      <c r="D36" s="8" t="s">
        <v>50</v>
      </c>
      <c r="E36" s="8" t="s">
        <v>47</v>
      </c>
      <c r="F36" s="8" t="s">
        <v>33</v>
      </c>
      <c r="G36" s="9" t="s">
        <v>34</v>
      </c>
      <c r="H36" s="8"/>
    </row>
    <row r="37" customFormat="false" ht="23.25" hidden="false" customHeight="true" outlineLevel="0" collapsed="false">
      <c r="A37" s="6" t="s">
        <v>76</v>
      </c>
      <c r="B37" s="6" t="s">
        <v>87</v>
      </c>
      <c r="C37" s="6" t="s">
        <v>27</v>
      </c>
      <c r="D37" s="6" t="s">
        <v>50</v>
      </c>
      <c r="E37" s="6" t="s">
        <v>47</v>
      </c>
      <c r="F37" s="6" t="s">
        <v>33</v>
      </c>
      <c r="G37" s="7" t="s">
        <v>34</v>
      </c>
      <c r="H37" s="6"/>
    </row>
    <row r="38" customFormat="false" ht="23.25" hidden="false" customHeight="true" outlineLevel="0" collapsed="false">
      <c r="A38" s="8" t="s">
        <v>76</v>
      </c>
      <c r="B38" s="8" t="s">
        <v>88</v>
      </c>
      <c r="C38" s="8" t="s">
        <v>89</v>
      </c>
      <c r="D38" s="8" t="s">
        <v>90</v>
      </c>
      <c r="E38" s="8" t="s">
        <v>47</v>
      </c>
      <c r="F38" s="8" t="s">
        <v>33</v>
      </c>
      <c r="G38" s="9" t="s">
        <v>34</v>
      </c>
      <c r="H38" s="8"/>
    </row>
    <row r="39" customFormat="false" ht="23.25" hidden="false" customHeight="true" outlineLevel="0" collapsed="false">
      <c r="A39" s="6" t="s">
        <v>76</v>
      </c>
      <c r="B39" s="6" t="s">
        <v>91</v>
      </c>
      <c r="C39" s="6" t="s">
        <v>27</v>
      </c>
      <c r="D39" s="6" t="s">
        <v>50</v>
      </c>
      <c r="E39" s="6" t="s">
        <v>47</v>
      </c>
      <c r="F39" s="6" t="s">
        <v>33</v>
      </c>
      <c r="G39" s="7" t="s">
        <v>34</v>
      </c>
      <c r="H39" s="6"/>
    </row>
    <row r="40" customFormat="false" ht="23.25" hidden="false" customHeight="true" outlineLevel="0" collapsed="false">
      <c r="A40" s="8" t="s">
        <v>92</v>
      </c>
      <c r="B40" s="8" t="s">
        <v>93</v>
      </c>
      <c r="C40" s="8" t="s">
        <v>27</v>
      </c>
      <c r="D40" s="8" t="s">
        <v>50</v>
      </c>
      <c r="E40" s="8" t="s">
        <v>29</v>
      </c>
      <c r="F40" s="8" t="s">
        <v>33</v>
      </c>
      <c r="G40" s="9" t="s">
        <v>34</v>
      </c>
      <c r="H40" s="8"/>
    </row>
    <row r="41" customFormat="false" ht="23.25" hidden="false" customHeight="true" outlineLevel="0" collapsed="false">
      <c r="A41" s="6" t="s">
        <v>92</v>
      </c>
      <c r="B41" s="6" t="s">
        <v>94</v>
      </c>
      <c r="C41" s="6" t="s">
        <v>27</v>
      </c>
      <c r="D41" s="6" t="s">
        <v>50</v>
      </c>
      <c r="E41" s="6" t="s">
        <v>29</v>
      </c>
      <c r="F41" s="6" t="s">
        <v>33</v>
      </c>
      <c r="G41" s="7" t="s">
        <v>34</v>
      </c>
      <c r="H41" s="6"/>
    </row>
    <row r="42" customFormat="false" ht="23.25" hidden="false" customHeight="true" outlineLevel="0" collapsed="false">
      <c r="A42" s="8" t="s">
        <v>92</v>
      </c>
      <c r="B42" s="8" t="s">
        <v>95</v>
      </c>
      <c r="C42" s="8" t="s">
        <v>27</v>
      </c>
      <c r="D42" s="8" t="s">
        <v>50</v>
      </c>
      <c r="E42" s="8" t="s">
        <v>29</v>
      </c>
      <c r="F42" s="8" t="s">
        <v>33</v>
      </c>
      <c r="G42" s="9" t="s">
        <v>34</v>
      </c>
      <c r="H42" s="8"/>
    </row>
    <row r="43" customFormat="false" ht="23.25" hidden="false" customHeight="true" outlineLevel="0" collapsed="false">
      <c r="A43" s="6" t="s">
        <v>92</v>
      </c>
      <c r="B43" s="6" t="s">
        <v>96</v>
      </c>
      <c r="C43" s="6" t="s">
        <v>27</v>
      </c>
      <c r="D43" s="6" t="s">
        <v>50</v>
      </c>
      <c r="E43" s="6" t="s">
        <v>29</v>
      </c>
      <c r="F43" s="6" t="s">
        <v>33</v>
      </c>
      <c r="G43" s="7" t="s">
        <v>34</v>
      </c>
      <c r="H43" s="6"/>
    </row>
    <row r="44" customFormat="false" ht="23.25" hidden="false" customHeight="true" outlineLevel="0" collapsed="false">
      <c r="A44" s="8" t="s">
        <v>92</v>
      </c>
      <c r="B44" s="8" t="s">
        <v>97</v>
      </c>
      <c r="C44" s="8" t="s">
        <v>27</v>
      </c>
      <c r="D44" s="8" t="s">
        <v>50</v>
      </c>
      <c r="E44" s="8" t="s">
        <v>29</v>
      </c>
      <c r="F44" s="8" t="s">
        <v>33</v>
      </c>
      <c r="G44" s="9" t="s">
        <v>34</v>
      </c>
      <c r="H44" s="8"/>
    </row>
    <row r="45" customFormat="false" ht="23.25" hidden="false" customHeight="true" outlineLevel="0" collapsed="false">
      <c r="A45" s="6" t="s">
        <v>92</v>
      </c>
      <c r="B45" s="6" t="s">
        <v>98</v>
      </c>
      <c r="C45" s="6" t="s">
        <v>27</v>
      </c>
      <c r="D45" s="6" t="s">
        <v>50</v>
      </c>
      <c r="E45" s="6" t="s">
        <v>29</v>
      </c>
      <c r="F45" s="6" t="s">
        <v>33</v>
      </c>
      <c r="G45" s="7" t="s">
        <v>34</v>
      </c>
      <c r="H45" s="6"/>
    </row>
    <row r="46" customFormat="false" ht="23.25" hidden="false" customHeight="true" outlineLevel="0" collapsed="false">
      <c r="A46" s="8" t="s">
        <v>92</v>
      </c>
      <c r="B46" s="8" t="s">
        <v>99</v>
      </c>
      <c r="C46" s="8" t="s">
        <v>27</v>
      </c>
      <c r="D46" s="8" t="s">
        <v>50</v>
      </c>
      <c r="E46" s="8" t="s">
        <v>29</v>
      </c>
      <c r="F46" s="8" t="s">
        <v>33</v>
      </c>
      <c r="G46" s="9" t="s">
        <v>34</v>
      </c>
      <c r="H46" s="8"/>
    </row>
    <row r="47" customFormat="false" ht="23.25" hidden="false" customHeight="true" outlineLevel="0" collapsed="false">
      <c r="A47" s="6" t="s">
        <v>92</v>
      </c>
      <c r="B47" s="6" t="s">
        <v>100</v>
      </c>
      <c r="C47" s="6" t="s">
        <v>27</v>
      </c>
      <c r="D47" s="6" t="s">
        <v>50</v>
      </c>
      <c r="E47" s="6" t="s">
        <v>29</v>
      </c>
      <c r="F47" s="6" t="s">
        <v>33</v>
      </c>
      <c r="G47" s="7" t="s">
        <v>34</v>
      </c>
      <c r="H47" s="6"/>
    </row>
    <row r="48" customFormat="false" ht="23.25" hidden="false" customHeight="true" outlineLevel="0" collapsed="false">
      <c r="A48" s="8" t="s">
        <v>92</v>
      </c>
      <c r="B48" s="8" t="s">
        <v>101</v>
      </c>
      <c r="C48" s="8" t="s">
        <v>60</v>
      </c>
      <c r="D48" s="8" t="s">
        <v>50</v>
      </c>
      <c r="E48" s="8" t="s">
        <v>29</v>
      </c>
      <c r="F48" s="8" t="s">
        <v>33</v>
      </c>
      <c r="G48" s="9" t="s">
        <v>34</v>
      </c>
      <c r="H48" s="8"/>
    </row>
    <row r="49" customFormat="false" ht="23.25" hidden="false" customHeight="true" outlineLevel="0" collapsed="false">
      <c r="A49" s="6" t="s">
        <v>92</v>
      </c>
      <c r="B49" s="6" t="s">
        <v>102</v>
      </c>
      <c r="C49" s="6" t="s">
        <v>60</v>
      </c>
      <c r="D49" s="6" t="s">
        <v>103</v>
      </c>
      <c r="E49" s="6" t="s">
        <v>47</v>
      </c>
      <c r="F49" s="6" t="s">
        <v>33</v>
      </c>
      <c r="G49" s="7" t="s">
        <v>34</v>
      </c>
      <c r="H49" s="6"/>
    </row>
    <row r="50" customFormat="false" ht="23.25" hidden="false" customHeight="true" outlineLevel="0" collapsed="false">
      <c r="A50" s="8" t="s">
        <v>92</v>
      </c>
      <c r="B50" s="8" t="s">
        <v>104</v>
      </c>
      <c r="C50" s="8" t="s">
        <v>60</v>
      </c>
      <c r="D50" s="8" t="s">
        <v>105</v>
      </c>
      <c r="E50" s="8" t="s">
        <v>47</v>
      </c>
      <c r="F50" s="8" t="s">
        <v>33</v>
      </c>
      <c r="G50" s="9" t="s">
        <v>34</v>
      </c>
      <c r="H50" s="8"/>
    </row>
    <row r="51" customFormat="false" ht="23.25" hidden="false" customHeight="true" outlineLevel="0" collapsed="false">
      <c r="A51" s="6" t="s">
        <v>106</v>
      </c>
      <c r="B51" s="6" t="s">
        <v>107</v>
      </c>
      <c r="C51" s="6" t="s">
        <v>81</v>
      </c>
      <c r="D51" s="6" t="s">
        <v>108</v>
      </c>
      <c r="E51" s="6" t="s">
        <v>29</v>
      </c>
      <c r="F51" s="6" t="s">
        <v>33</v>
      </c>
      <c r="G51" s="7" t="s">
        <v>34</v>
      </c>
      <c r="H51" s="6"/>
    </row>
    <row r="52" customFormat="false" ht="23.25" hidden="false" customHeight="true" outlineLevel="0" collapsed="false">
      <c r="A52" s="8" t="s">
        <v>106</v>
      </c>
      <c r="B52" s="8" t="s">
        <v>109</v>
      </c>
      <c r="C52" s="8" t="s">
        <v>110</v>
      </c>
      <c r="D52" s="8" t="s">
        <v>111</v>
      </c>
      <c r="E52" s="8" t="s">
        <v>29</v>
      </c>
      <c r="F52" s="8" t="s">
        <v>33</v>
      </c>
      <c r="G52" s="9" t="s">
        <v>34</v>
      </c>
      <c r="H52" s="8"/>
    </row>
    <row r="53" customFormat="false" ht="23.25" hidden="false" customHeight="true" outlineLevel="0" collapsed="false">
      <c r="A53" s="6" t="s">
        <v>106</v>
      </c>
      <c r="B53" s="6" t="s">
        <v>112</v>
      </c>
      <c r="C53" s="6" t="s">
        <v>81</v>
      </c>
      <c r="D53" s="6" t="s">
        <v>113</v>
      </c>
      <c r="E53" s="6" t="s">
        <v>29</v>
      </c>
      <c r="F53" s="6" t="s">
        <v>33</v>
      </c>
      <c r="G53" s="7" t="s">
        <v>34</v>
      </c>
      <c r="H53" s="6"/>
    </row>
    <row r="54" customFormat="false" ht="23.25" hidden="false" customHeight="true" outlineLevel="0" collapsed="false">
      <c r="A54" s="8" t="s">
        <v>106</v>
      </c>
      <c r="B54" s="8" t="s">
        <v>114</v>
      </c>
      <c r="C54" s="8" t="s">
        <v>115</v>
      </c>
      <c r="D54" s="8" t="s">
        <v>116</v>
      </c>
      <c r="E54" s="8" t="s">
        <v>29</v>
      </c>
      <c r="F54" s="8" t="s">
        <v>33</v>
      </c>
      <c r="G54" s="9" t="s">
        <v>34</v>
      </c>
      <c r="H54" s="8"/>
    </row>
    <row r="55" customFormat="false" ht="23.25" hidden="false" customHeight="true" outlineLevel="0" collapsed="false">
      <c r="A55" s="6" t="s">
        <v>106</v>
      </c>
      <c r="B55" s="6" t="s">
        <v>117</v>
      </c>
      <c r="C55" s="6" t="s">
        <v>118</v>
      </c>
      <c r="D55" s="6" t="s">
        <v>119</v>
      </c>
      <c r="E55" s="6" t="s">
        <v>29</v>
      </c>
      <c r="F55" s="6" t="s">
        <v>33</v>
      </c>
      <c r="G55" s="7" t="s">
        <v>34</v>
      </c>
      <c r="H55" s="6"/>
    </row>
    <row r="56" customFormat="false" ht="23.25" hidden="false" customHeight="true" outlineLevel="0" collapsed="false">
      <c r="A56" s="8" t="s">
        <v>120</v>
      </c>
      <c r="B56" s="8" t="s">
        <v>121</v>
      </c>
      <c r="C56" s="8" t="s">
        <v>27</v>
      </c>
      <c r="D56" s="8" t="s">
        <v>66</v>
      </c>
      <c r="E56" s="8" t="s">
        <v>29</v>
      </c>
      <c r="F56" s="8" t="s">
        <v>33</v>
      </c>
      <c r="G56" s="9" t="s">
        <v>34</v>
      </c>
      <c r="H56" s="8"/>
    </row>
    <row r="57" customFormat="false" ht="23.25" hidden="false" customHeight="true" outlineLevel="0" collapsed="false">
      <c r="A57" s="6" t="s">
        <v>120</v>
      </c>
      <c r="B57" s="6" t="s">
        <v>122</v>
      </c>
      <c r="C57" s="6" t="s">
        <v>27</v>
      </c>
      <c r="D57" s="6" t="s">
        <v>66</v>
      </c>
      <c r="E57" s="6" t="s">
        <v>29</v>
      </c>
      <c r="F57" s="6" t="s">
        <v>33</v>
      </c>
      <c r="G57" s="7" t="s">
        <v>34</v>
      </c>
      <c r="H57" s="6"/>
    </row>
    <row r="58" customFormat="false" ht="23.25" hidden="false" customHeight="true" outlineLevel="0" collapsed="false">
      <c r="A58" s="8" t="s">
        <v>120</v>
      </c>
      <c r="B58" s="8" t="s">
        <v>123</v>
      </c>
      <c r="C58" s="8" t="s">
        <v>27</v>
      </c>
      <c r="D58" s="8" t="s">
        <v>66</v>
      </c>
      <c r="E58" s="8" t="s">
        <v>29</v>
      </c>
      <c r="F58" s="8" t="s">
        <v>33</v>
      </c>
      <c r="G58" s="9" t="s">
        <v>34</v>
      </c>
      <c r="H58" s="8"/>
    </row>
    <row r="59" customFormat="false" ht="15" hidden="false" customHeight="true" outlineLevel="0" collapsed="false">
      <c r="A59" s="6" t="s">
        <v>124</v>
      </c>
      <c r="B59" s="6" t="s">
        <v>125</v>
      </c>
      <c r="C59" s="6" t="s">
        <v>126</v>
      </c>
      <c r="D59" s="6" t="s">
        <v>127</v>
      </c>
      <c r="E59" s="6" t="s">
        <v>47</v>
      </c>
      <c r="F59" s="6" t="s">
        <v>30</v>
      </c>
      <c r="G59" s="7" t="s">
        <v>128</v>
      </c>
      <c r="H59" s="6"/>
    </row>
    <row r="60" customFormat="false" ht="23.25" hidden="false" customHeight="true" outlineLevel="0" collapsed="false">
      <c r="A60" s="8" t="s">
        <v>124</v>
      </c>
      <c r="B60" s="8" t="s">
        <v>129</v>
      </c>
      <c r="C60" s="8" t="s">
        <v>126</v>
      </c>
      <c r="D60" s="8" t="s">
        <v>127</v>
      </c>
      <c r="E60" s="8" t="s">
        <v>47</v>
      </c>
      <c r="F60" s="8" t="s">
        <v>33</v>
      </c>
      <c r="G60" s="9" t="s">
        <v>34</v>
      </c>
      <c r="H60" s="8"/>
    </row>
    <row r="61" customFormat="false" ht="23.25" hidden="false" customHeight="true" outlineLevel="0" collapsed="false">
      <c r="A61" s="6" t="s">
        <v>124</v>
      </c>
      <c r="B61" s="6" t="s">
        <v>130</v>
      </c>
      <c r="C61" s="6" t="s">
        <v>126</v>
      </c>
      <c r="D61" s="6" t="s">
        <v>127</v>
      </c>
      <c r="E61" s="6" t="s">
        <v>47</v>
      </c>
      <c r="F61" s="6" t="s">
        <v>33</v>
      </c>
      <c r="G61" s="7" t="s">
        <v>34</v>
      </c>
      <c r="H61" s="6"/>
    </row>
    <row r="62" customFormat="false" ht="23.25" hidden="false" customHeight="true" outlineLevel="0" collapsed="false">
      <c r="A62" s="8" t="s">
        <v>124</v>
      </c>
      <c r="B62" s="8" t="s">
        <v>131</v>
      </c>
      <c r="C62" s="8" t="s">
        <v>126</v>
      </c>
      <c r="D62" s="8" t="s">
        <v>132</v>
      </c>
      <c r="E62" s="8" t="s">
        <v>47</v>
      </c>
      <c r="F62" s="8" t="s">
        <v>30</v>
      </c>
      <c r="G62" s="9" t="s">
        <v>128</v>
      </c>
      <c r="H62" s="8"/>
    </row>
    <row r="63" customFormat="false" ht="23.25" hidden="false" customHeight="true" outlineLevel="0" collapsed="false">
      <c r="A63" s="6" t="s">
        <v>124</v>
      </c>
      <c r="B63" s="6" t="s">
        <v>133</v>
      </c>
      <c r="C63" s="6" t="s">
        <v>126</v>
      </c>
      <c r="D63" s="6" t="s">
        <v>127</v>
      </c>
      <c r="E63" s="6" t="s">
        <v>47</v>
      </c>
      <c r="F63" s="6" t="s">
        <v>33</v>
      </c>
      <c r="G63" s="7" t="s">
        <v>34</v>
      </c>
      <c r="H63" s="6"/>
    </row>
    <row r="64" customFormat="false" ht="23.25" hidden="false" customHeight="true" outlineLevel="0" collapsed="false">
      <c r="A64" s="8" t="s">
        <v>134</v>
      </c>
      <c r="B64" s="8" t="s">
        <v>135</v>
      </c>
      <c r="C64" s="8" t="s">
        <v>126</v>
      </c>
      <c r="D64" s="8" t="s">
        <v>136</v>
      </c>
      <c r="E64" s="8" t="s">
        <v>29</v>
      </c>
      <c r="F64" s="8" t="s">
        <v>33</v>
      </c>
      <c r="G64" s="9" t="s">
        <v>34</v>
      </c>
      <c r="H64" s="8"/>
    </row>
    <row r="65" customFormat="false" ht="23.25" hidden="false" customHeight="true" outlineLevel="0" collapsed="false">
      <c r="A65" s="6" t="s">
        <v>134</v>
      </c>
      <c r="B65" s="6" t="s">
        <v>137</v>
      </c>
      <c r="C65" s="6" t="s">
        <v>126</v>
      </c>
      <c r="D65" s="6" t="s">
        <v>127</v>
      </c>
      <c r="E65" s="6" t="s">
        <v>29</v>
      </c>
      <c r="F65" s="6" t="s">
        <v>33</v>
      </c>
      <c r="G65" s="7" t="s">
        <v>34</v>
      </c>
      <c r="H65" s="6"/>
    </row>
    <row r="66" customFormat="false" ht="23.25" hidden="false" customHeight="true" outlineLevel="0" collapsed="false">
      <c r="A66" s="8" t="s">
        <v>134</v>
      </c>
      <c r="B66" s="8" t="s">
        <v>138</v>
      </c>
      <c r="C66" s="8" t="s">
        <v>139</v>
      </c>
      <c r="D66" s="8" t="s">
        <v>140</v>
      </c>
      <c r="E66" s="8" t="s">
        <v>29</v>
      </c>
      <c r="F66" s="8" t="s">
        <v>33</v>
      </c>
      <c r="G66" s="9" t="s">
        <v>34</v>
      </c>
      <c r="H66" s="8"/>
    </row>
    <row r="67" customFormat="false" ht="23.25" hidden="false" customHeight="true" outlineLevel="0" collapsed="false">
      <c r="A67" s="6" t="s">
        <v>141</v>
      </c>
      <c r="B67" s="6" t="s">
        <v>142</v>
      </c>
      <c r="C67" s="6" t="s">
        <v>126</v>
      </c>
      <c r="D67" s="6" t="s">
        <v>143</v>
      </c>
      <c r="E67" s="6" t="s">
        <v>29</v>
      </c>
      <c r="F67" s="6" t="s">
        <v>30</v>
      </c>
      <c r="G67" s="7" t="s">
        <v>128</v>
      </c>
      <c r="H67" s="6"/>
    </row>
    <row r="68" customFormat="false" ht="15" hidden="false" customHeight="true" outlineLevel="0" collapsed="false">
      <c r="A68" s="8" t="s">
        <v>141</v>
      </c>
      <c r="B68" s="8" t="s">
        <v>144</v>
      </c>
      <c r="C68" s="8" t="s">
        <v>126</v>
      </c>
      <c r="D68" s="8" t="s">
        <v>145</v>
      </c>
      <c r="E68" s="8" t="s">
        <v>29</v>
      </c>
      <c r="F68" s="8" t="s">
        <v>30</v>
      </c>
      <c r="G68" s="9" t="s">
        <v>128</v>
      </c>
      <c r="H68" s="8"/>
    </row>
    <row r="69" customFormat="false" ht="15" hidden="false" customHeight="true" outlineLevel="0" collapsed="false">
      <c r="A69" s="6" t="s">
        <v>141</v>
      </c>
      <c r="B69" s="6" t="s">
        <v>146</v>
      </c>
      <c r="C69" s="6" t="s">
        <v>126</v>
      </c>
      <c r="D69" s="6" t="s">
        <v>127</v>
      </c>
      <c r="E69" s="6" t="s">
        <v>29</v>
      </c>
      <c r="F69" s="6" t="s">
        <v>30</v>
      </c>
      <c r="G69" s="7" t="s">
        <v>128</v>
      </c>
      <c r="H69" s="6"/>
    </row>
    <row r="70" customFormat="false" ht="23.25" hidden="false" customHeight="true" outlineLevel="0" collapsed="false">
      <c r="A70" s="8" t="s">
        <v>147</v>
      </c>
      <c r="B70" s="8" t="s">
        <v>148</v>
      </c>
      <c r="C70" s="8" t="s">
        <v>149</v>
      </c>
      <c r="D70" s="8" t="s">
        <v>150</v>
      </c>
      <c r="E70" s="8" t="s">
        <v>47</v>
      </c>
      <c r="F70" s="8" t="s">
        <v>33</v>
      </c>
      <c r="G70" s="9" t="s">
        <v>34</v>
      </c>
      <c r="H70" s="8"/>
    </row>
    <row r="71" customFormat="false" ht="23.25" hidden="false" customHeight="true" outlineLevel="0" collapsed="false">
      <c r="A71" s="6" t="s">
        <v>147</v>
      </c>
      <c r="B71" s="6" t="s">
        <v>151</v>
      </c>
      <c r="C71" s="6" t="s">
        <v>139</v>
      </c>
      <c r="D71" s="6" t="s">
        <v>150</v>
      </c>
      <c r="E71" s="6" t="s">
        <v>47</v>
      </c>
      <c r="F71" s="6" t="s">
        <v>33</v>
      </c>
      <c r="G71" s="7" t="s">
        <v>34</v>
      </c>
      <c r="H71" s="6"/>
    </row>
    <row r="72" customFormat="false" ht="23.25" hidden="false" customHeight="true" outlineLevel="0" collapsed="false">
      <c r="A72" s="8" t="s">
        <v>152</v>
      </c>
      <c r="B72" s="8" t="s">
        <v>153</v>
      </c>
      <c r="C72" s="8" t="s">
        <v>154</v>
      </c>
      <c r="D72" s="8" t="s">
        <v>155</v>
      </c>
      <c r="E72" s="8" t="s">
        <v>47</v>
      </c>
      <c r="F72" s="8" t="s">
        <v>30</v>
      </c>
      <c r="G72" s="9" t="s">
        <v>156</v>
      </c>
      <c r="H72" s="8"/>
    </row>
    <row r="73" customFormat="false" ht="15" hidden="false" customHeight="true" outlineLevel="0" collapsed="false">
      <c r="A73" s="6" t="s">
        <v>152</v>
      </c>
      <c r="B73" s="6" t="s">
        <v>157</v>
      </c>
      <c r="C73" s="6" t="s">
        <v>154</v>
      </c>
      <c r="D73" s="6" t="s">
        <v>158</v>
      </c>
      <c r="E73" s="6" t="s">
        <v>47</v>
      </c>
      <c r="F73" s="6" t="s">
        <v>30</v>
      </c>
      <c r="G73" s="7" t="s">
        <v>156</v>
      </c>
      <c r="H73" s="6"/>
    </row>
    <row r="74" customFormat="false" ht="23.25" hidden="false" customHeight="true" outlineLevel="0" collapsed="false">
      <c r="A74" s="8" t="s">
        <v>152</v>
      </c>
      <c r="B74" s="8" t="s">
        <v>159</v>
      </c>
      <c r="C74" s="8" t="s">
        <v>154</v>
      </c>
      <c r="D74" s="8" t="s">
        <v>158</v>
      </c>
      <c r="E74" s="8" t="s">
        <v>47</v>
      </c>
      <c r="F74" s="8" t="s">
        <v>33</v>
      </c>
      <c r="G74" s="9" t="s">
        <v>34</v>
      </c>
      <c r="H74" s="8"/>
    </row>
    <row r="75" customFormat="false" ht="23.25" hidden="false" customHeight="true" outlineLevel="0" collapsed="false">
      <c r="A75" s="6" t="s">
        <v>152</v>
      </c>
      <c r="B75" s="6" t="s">
        <v>160</v>
      </c>
      <c r="C75" s="6" t="s">
        <v>154</v>
      </c>
      <c r="D75" s="6" t="s">
        <v>161</v>
      </c>
      <c r="E75" s="6" t="s">
        <v>47</v>
      </c>
      <c r="F75" s="6" t="s">
        <v>33</v>
      </c>
      <c r="G75" s="7" t="s">
        <v>34</v>
      </c>
      <c r="H75" s="6"/>
    </row>
    <row r="76" customFormat="false" ht="23.25" hidden="false" customHeight="true" outlineLevel="0" collapsed="false">
      <c r="A76" s="8" t="s">
        <v>152</v>
      </c>
      <c r="B76" s="8" t="s">
        <v>162</v>
      </c>
      <c r="C76" s="8" t="s">
        <v>154</v>
      </c>
      <c r="D76" s="8" t="s">
        <v>163</v>
      </c>
      <c r="E76" s="8" t="s">
        <v>47</v>
      </c>
      <c r="F76" s="8" t="s">
        <v>33</v>
      </c>
      <c r="G76" s="9" t="s">
        <v>34</v>
      </c>
      <c r="H76" s="8"/>
    </row>
    <row r="77" customFormat="false" ht="23.25" hidden="false" customHeight="true" outlineLevel="0" collapsed="false">
      <c r="A77" s="6" t="s">
        <v>152</v>
      </c>
      <c r="B77" s="6" t="s">
        <v>164</v>
      </c>
      <c r="C77" s="6" t="s">
        <v>154</v>
      </c>
      <c r="D77" s="6" t="s">
        <v>165</v>
      </c>
      <c r="E77" s="6" t="s">
        <v>47</v>
      </c>
      <c r="F77" s="6" t="s">
        <v>33</v>
      </c>
      <c r="G77" s="7" t="s">
        <v>34</v>
      </c>
      <c r="H77" s="6"/>
    </row>
    <row r="78" customFormat="false" ht="23.25" hidden="false" customHeight="true" outlineLevel="0" collapsed="false">
      <c r="A78" s="8" t="s">
        <v>152</v>
      </c>
      <c r="B78" s="8" t="s">
        <v>166</v>
      </c>
      <c r="C78" s="8" t="s">
        <v>154</v>
      </c>
      <c r="D78" s="8" t="s">
        <v>167</v>
      </c>
      <c r="E78" s="8" t="s">
        <v>47</v>
      </c>
      <c r="F78" s="8" t="s">
        <v>33</v>
      </c>
      <c r="G78" s="9" t="s">
        <v>34</v>
      </c>
      <c r="H78" s="8"/>
    </row>
    <row r="79" customFormat="false" ht="23.25" hidden="false" customHeight="true" outlineLevel="0" collapsed="false">
      <c r="A79" s="6" t="s">
        <v>152</v>
      </c>
      <c r="B79" s="6" t="s">
        <v>168</v>
      </c>
      <c r="C79" s="6" t="s">
        <v>154</v>
      </c>
      <c r="D79" s="6" t="s">
        <v>158</v>
      </c>
      <c r="E79" s="6" t="s">
        <v>47</v>
      </c>
      <c r="F79" s="6" t="s">
        <v>33</v>
      </c>
      <c r="G79" s="7" t="s">
        <v>34</v>
      </c>
      <c r="H79" s="6"/>
    </row>
    <row r="80" customFormat="false" ht="23.25" hidden="false" customHeight="true" outlineLevel="0" collapsed="false">
      <c r="A80" s="8" t="s">
        <v>152</v>
      </c>
      <c r="B80" s="8" t="s">
        <v>169</v>
      </c>
      <c r="C80" s="8" t="s">
        <v>154</v>
      </c>
      <c r="D80" s="8" t="s">
        <v>158</v>
      </c>
      <c r="E80" s="8" t="s">
        <v>47</v>
      </c>
      <c r="F80" s="8" t="s">
        <v>33</v>
      </c>
      <c r="G80" s="9" t="s">
        <v>34</v>
      </c>
      <c r="H80" s="8"/>
    </row>
    <row r="81" customFormat="false" ht="23.25" hidden="false" customHeight="true" outlineLevel="0" collapsed="false">
      <c r="A81" s="6" t="s">
        <v>152</v>
      </c>
      <c r="B81" s="6" t="s">
        <v>170</v>
      </c>
      <c r="C81" s="6" t="s">
        <v>154</v>
      </c>
      <c r="D81" s="6" t="s">
        <v>171</v>
      </c>
      <c r="E81" s="6" t="s">
        <v>47</v>
      </c>
      <c r="F81" s="6" t="s">
        <v>33</v>
      </c>
      <c r="G81" s="7" t="s">
        <v>34</v>
      </c>
      <c r="H81" s="6"/>
    </row>
    <row r="82" customFormat="false" ht="23.25" hidden="false" customHeight="true" outlineLevel="0" collapsed="false">
      <c r="A82" s="8" t="s">
        <v>152</v>
      </c>
      <c r="B82" s="8" t="s">
        <v>172</v>
      </c>
      <c r="C82" s="8" t="s">
        <v>154</v>
      </c>
      <c r="D82" s="8" t="s">
        <v>173</v>
      </c>
      <c r="E82" s="8" t="s">
        <v>47</v>
      </c>
      <c r="F82" s="8" t="s">
        <v>33</v>
      </c>
      <c r="G82" s="9" t="s">
        <v>34</v>
      </c>
      <c r="H82" s="8"/>
    </row>
    <row r="83" customFormat="false" ht="23.25" hidden="false" customHeight="true" outlineLevel="0" collapsed="false">
      <c r="A83" s="6" t="s">
        <v>152</v>
      </c>
      <c r="B83" s="6" t="s">
        <v>174</v>
      </c>
      <c r="C83" s="6" t="s">
        <v>154</v>
      </c>
      <c r="D83" s="6" t="s">
        <v>158</v>
      </c>
      <c r="E83" s="6" t="s">
        <v>47</v>
      </c>
      <c r="F83" s="6" t="s">
        <v>33</v>
      </c>
      <c r="G83" s="7" t="s">
        <v>34</v>
      </c>
      <c r="H83" s="6"/>
    </row>
    <row r="84" customFormat="false" ht="23.25" hidden="false" customHeight="true" outlineLevel="0" collapsed="false">
      <c r="A84" s="8" t="s">
        <v>152</v>
      </c>
      <c r="B84" s="8" t="s">
        <v>175</v>
      </c>
      <c r="C84" s="8" t="s">
        <v>154</v>
      </c>
      <c r="D84" s="8" t="s">
        <v>158</v>
      </c>
      <c r="E84" s="8" t="s">
        <v>47</v>
      </c>
      <c r="F84" s="8" t="s">
        <v>33</v>
      </c>
      <c r="G84" s="9" t="s">
        <v>34</v>
      </c>
      <c r="H84" s="8"/>
    </row>
    <row r="85" customFormat="false" ht="23.25" hidden="false" customHeight="true" outlineLevel="0" collapsed="false">
      <c r="A85" s="6" t="s">
        <v>176</v>
      </c>
      <c r="B85" s="6" t="s">
        <v>177</v>
      </c>
      <c r="C85" s="6" t="s">
        <v>52</v>
      </c>
      <c r="D85" s="6" t="s">
        <v>178</v>
      </c>
      <c r="E85" s="6" t="s">
        <v>29</v>
      </c>
      <c r="F85" s="6" t="s">
        <v>33</v>
      </c>
      <c r="G85" s="7" t="s">
        <v>34</v>
      </c>
      <c r="H85" s="6"/>
    </row>
    <row r="86" customFormat="false" ht="23.25" hidden="false" customHeight="true" outlineLevel="0" collapsed="false">
      <c r="A86" s="8" t="s">
        <v>176</v>
      </c>
      <c r="B86" s="8" t="s">
        <v>179</v>
      </c>
      <c r="C86" s="8" t="s">
        <v>180</v>
      </c>
      <c r="D86" s="8" t="s">
        <v>181</v>
      </c>
      <c r="E86" s="8" t="s">
        <v>29</v>
      </c>
      <c r="F86" s="8" t="s">
        <v>33</v>
      </c>
      <c r="G86" s="9" t="s">
        <v>34</v>
      </c>
      <c r="H86" s="8"/>
    </row>
    <row r="87" customFormat="false" ht="23.25" hidden="false" customHeight="true" outlineLevel="0" collapsed="false">
      <c r="A87" s="6" t="s">
        <v>176</v>
      </c>
      <c r="B87" s="6" t="s">
        <v>182</v>
      </c>
      <c r="C87" s="6" t="s">
        <v>183</v>
      </c>
      <c r="D87" s="6" t="s">
        <v>184</v>
      </c>
      <c r="E87" s="6" t="s">
        <v>29</v>
      </c>
      <c r="F87" s="6" t="s">
        <v>33</v>
      </c>
      <c r="G87" s="7" t="s">
        <v>34</v>
      </c>
      <c r="H87" s="6"/>
    </row>
    <row r="88" customFormat="false" ht="23.25" hidden="false" customHeight="true" outlineLevel="0" collapsed="false">
      <c r="A88" s="8" t="s">
        <v>185</v>
      </c>
      <c r="B88" s="8" t="s">
        <v>186</v>
      </c>
      <c r="C88" s="8" t="s">
        <v>52</v>
      </c>
      <c r="D88" s="8" t="s">
        <v>187</v>
      </c>
      <c r="E88" s="8" t="s">
        <v>188</v>
      </c>
      <c r="F88" s="8" t="s">
        <v>33</v>
      </c>
      <c r="G88" s="9" t="s">
        <v>34</v>
      </c>
      <c r="H88" s="8"/>
    </row>
    <row r="89" customFormat="false" ht="23.25" hidden="false" customHeight="true" outlineLevel="0" collapsed="false">
      <c r="A89" s="6" t="s">
        <v>185</v>
      </c>
      <c r="B89" s="6" t="s">
        <v>189</v>
      </c>
      <c r="C89" s="6" t="s">
        <v>52</v>
      </c>
      <c r="D89" s="6" t="s">
        <v>190</v>
      </c>
      <c r="E89" s="6" t="s">
        <v>188</v>
      </c>
      <c r="F89" s="6" t="s">
        <v>30</v>
      </c>
      <c r="G89" s="7" t="s">
        <v>191</v>
      </c>
      <c r="H89" s="6"/>
    </row>
    <row r="90" customFormat="false" ht="23.25" hidden="false" customHeight="true" outlineLevel="0" collapsed="false">
      <c r="A90" s="8" t="s">
        <v>185</v>
      </c>
      <c r="B90" s="8" t="s">
        <v>192</v>
      </c>
      <c r="C90" s="8" t="s">
        <v>115</v>
      </c>
      <c r="D90" s="8" t="s">
        <v>116</v>
      </c>
      <c r="E90" s="8" t="s">
        <v>188</v>
      </c>
      <c r="F90" s="8" t="s">
        <v>33</v>
      </c>
      <c r="G90" s="9" t="s">
        <v>34</v>
      </c>
      <c r="H90" s="8"/>
    </row>
    <row r="91" customFormat="false" ht="23.25" hidden="false" customHeight="true" outlineLevel="0" collapsed="false">
      <c r="A91" s="6" t="s">
        <v>185</v>
      </c>
      <c r="B91" s="6" t="s">
        <v>193</v>
      </c>
      <c r="C91" s="6" t="s">
        <v>27</v>
      </c>
      <c r="D91" s="6" t="s">
        <v>194</v>
      </c>
      <c r="E91" s="6" t="s">
        <v>188</v>
      </c>
      <c r="F91" s="6" t="s">
        <v>33</v>
      </c>
      <c r="G91" s="7" t="s">
        <v>34</v>
      </c>
      <c r="H91" s="6"/>
    </row>
    <row r="92" customFormat="false" ht="34.5" hidden="false" customHeight="true" outlineLevel="0" collapsed="false">
      <c r="A92" s="8" t="s">
        <v>195</v>
      </c>
      <c r="B92" s="8" t="s">
        <v>196</v>
      </c>
      <c r="C92" s="8" t="s">
        <v>197</v>
      </c>
      <c r="D92" s="8" t="s">
        <v>198</v>
      </c>
      <c r="E92" s="8" t="s">
        <v>199</v>
      </c>
      <c r="F92" s="8" t="s">
        <v>30</v>
      </c>
      <c r="G92" s="9" t="s">
        <v>191</v>
      </c>
      <c r="H92" s="8"/>
    </row>
    <row r="93" customFormat="false" ht="15" hidden="false" customHeight="true" outlineLevel="0" collapsed="false">
      <c r="A93" s="6" t="s">
        <v>195</v>
      </c>
      <c r="B93" s="6" t="s">
        <v>200</v>
      </c>
      <c r="C93" s="6" t="s">
        <v>201</v>
      </c>
      <c r="D93" s="6" t="s">
        <v>202</v>
      </c>
      <c r="E93" s="6" t="s">
        <v>199</v>
      </c>
      <c r="F93" s="6" t="s">
        <v>30</v>
      </c>
      <c r="G93" s="7" t="s">
        <v>191</v>
      </c>
      <c r="H93" s="6"/>
    </row>
    <row r="94" customFormat="false" ht="45.75" hidden="false" customHeight="true" outlineLevel="0" collapsed="false">
      <c r="A94" s="8" t="s">
        <v>195</v>
      </c>
      <c r="B94" s="8" t="s">
        <v>203</v>
      </c>
      <c r="C94" s="8" t="s">
        <v>204</v>
      </c>
      <c r="D94" s="8" t="s">
        <v>205</v>
      </c>
      <c r="E94" s="8" t="s">
        <v>199</v>
      </c>
      <c r="F94" s="8" t="s">
        <v>33</v>
      </c>
      <c r="G94" s="9" t="s">
        <v>34</v>
      </c>
      <c r="H94" s="8"/>
    </row>
    <row r="95" customFormat="false" ht="23.25" hidden="false" customHeight="true" outlineLevel="0" collapsed="false">
      <c r="A95" s="6" t="s">
        <v>195</v>
      </c>
      <c r="B95" s="6" t="s">
        <v>206</v>
      </c>
      <c r="C95" s="6" t="s">
        <v>52</v>
      </c>
      <c r="D95" s="6" t="s">
        <v>190</v>
      </c>
      <c r="E95" s="6" t="s">
        <v>199</v>
      </c>
      <c r="F95" s="6" t="s">
        <v>33</v>
      </c>
      <c r="G95" s="7" t="s">
        <v>34</v>
      </c>
      <c r="H95" s="6"/>
    </row>
    <row r="96" customFormat="false" ht="23.25" hidden="false" customHeight="true" outlineLevel="0" collapsed="false">
      <c r="A96" s="8" t="s">
        <v>207</v>
      </c>
      <c r="B96" s="8" t="s">
        <v>208</v>
      </c>
      <c r="C96" s="8" t="s">
        <v>209</v>
      </c>
      <c r="D96" s="8" t="s">
        <v>210</v>
      </c>
      <c r="E96" s="8" t="s">
        <v>47</v>
      </c>
      <c r="F96" s="8" t="s">
        <v>33</v>
      </c>
      <c r="G96" s="9" t="s">
        <v>34</v>
      </c>
      <c r="H96" s="8"/>
    </row>
    <row r="97" customFormat="false" ht="23.25" hidden="false" customHeight="true" outlineLevel="0" collapsed="false">
      <c r="A97" s="6" t="s">
        <v>207</v>
      </c>
      <c r="B97" s="6" t="s">
        <v>211</v>
      </c>
      <c r="C97" s="6" t="s">
        <v>212</v>
      </c>
      <c r="D97" s="6" t="s">
        <v>213</v>
      </c>
      <c r="E97" s="6" t="s">
        <v>29</v>
      </c>
      <c r="F97" s="6" t="s">
        <v>33</v>
      </c>
      <c r="G97" s="7" t="s">
        <v>34</v>
      </c>
      <c r="H97" s="6"/>
    </row>
    <row r="98" customFormat="false" ht="23.25" hidden="false" customHeight="true" outlineLevel="0" collapsed="false">
      <c r="A98" s="8" t="s">
        <v>207</v>
      </c>
      <c r="B98" s="8" t="s">
        <v>214</v>
      </c>
      <c r="C98" s="8" t="s">
        <v>215</v>
      </c>
      <c r="D98" s="8" t="s">
        <v>210</v>
      </c>
      <c r="E98" s="8" t="s">
        <v>188</v>
      </c>
      <c r="F98" s="8" t="s">
        <v>33</v>
      </c>
      <c r="G98" s="9" t="s">
        <v>34</v>
      </c>
      <c r="H98" s="8"/>
    </row>
    <row r="99" customFormat="false" ht="23.25" hidden="false" customHeight="true" outlineLevel="0" collapsed="false">
      <c r="A99" s="6" t="s">
        <v>216</v>
      </c>
      <c r="B99" s="6" t="s">
        <v>217</v>
      </c>
      <c r="C99" s="6" t="s">
        <v>218</v>
      </c>
      <c r="D99" s="6" t="s">
        <v>219</v>
      </c>
      <c r="E99" s="6" t="s">
        <v>188</v>
      </c>
      <c r="F99" s="6" t="s">
        <v>33</v>
      </c>
      <c r="G99" s="7" t="s">
        <v>34</v>
      </c>
      <c r="H99" s="6"/>
    </row>
    <row r="100" customFormat="false" ht="23.25" hidden="false" customHeight="true" outlineLevel="0" collapsed="false">
      <c r="A100" s="8" t="s">
        <v>216</v>
      </c>
      <c r="B100" s="8" t="s">
        <v>220</v>
      </c>
      <c r="C100" s="8" t="s">
        <v>221</v>
      </c>
      <c r="D100" s="8" t="s">
        <v>222</v>
      </c>
      <c r="E100" s="8" t="s">
        <v>47</v>
      </c>
      <c r="F100" s="8" t="s">
        <v>33</v>
      </c>
      <c r="G100" s="9" t="s">
        <v>34</v>
      </c>
      <c r="H100" s="8"/>
    </row>
    <row r="101" customFormat="false" ht="23.25" hidden="false" customHeight="true" outlineLevel="0" collapsed="false">
      <c r="A101" s="6" t="s">
        <v>223</v>
      </c>
      <c r="B101" s="6" t="s">
        <v>224</v>
      </c>
      <c r="C101" s="6" t="s">
        <v>27</v>
      </c>
      <c r="D101" s="6" t="s">
        <v>50</v>
      </c>
      <c r="E101" s="6" t="s">
        <v>47</v>
      </c>
      <c r="F101" s="6" t="s">
        <v>33</v>
      </c>
      <c r="G101" s="7" t="s">
        <v>34</v>
      </c>
      <c r="H101" s="6"/>
    </row>
    <row r="102" customFormat="false" ht="23.25" hidden="false" customHeight="true" outlineLevel="0" collapsed="false">
      <c r="A102" s="8" t="s">
        <v>223</v>
      </c>
      <c r="B102" s="8" t="s">
        <v>225</v>
      </c>
      <c r="C102" s="8" t="s">
        <v>60</v>
      </c>
      <c r="D102" s="8" t="s">
        <v>103</v>
      </c>
      <c r="E102" s="8" t="s">
        <v>47</v>
      </c>
      <c r="F102" s="8" t="s">
        <v>33</v>
      </c>
      <c r="G102" s="9" t="s">
        <v>34</v>
      </c>
      <c r="H102" s="8"/>
    </row>
    <row r="103" customFormat="false" ht="23.25" hidden="false" customHeight="true" outlineLevel="0" collapsed="false">
      <c r="A103" s="6" t="s">
        <v>223</v>
      </c>
      <c r="B103" s="6" t="s">
        <v>226</v>
      </c>
      <c r="C103" s="6" t="s">
        <v>126</v>
      </c>
      <c r="D103" s="6" t="s">
        <v>127</v>
      </c>
      <c r="E103" s="6" t="s">
        <v>47</v>
      </c>
      <c r="F103" s="6" t="s">
        <v>33</v>
      </c>
      <c r="G103" s="7" t="s">
        <v>34</v>
      </c>
      <c r="H103" s="6"/>
    </row>
    <row r="104" customFormat="false" ht="23.25" hidden="false" customHeight="true" outlineLevel="0" collapsed="false">
      <c r="A104" s="8" t="s">
        <v>223</v>
      </c>
      <c r="B104" s="8" t="s">
        <v>227</v>
      </c>
      <c r="C104" s="8" t="s">
        <v>60</v>
      </c>
      <c r="D104" s="8" t="s">
        <v>103</v>
      </c>
      <c r="E104" s="8" t="s">
        <v>47</v>
      </c>
      <c r="F104" s="8" t="s">
        <v>33</v>
      </c>
      <c r="G104" s="9" t="s">
        <v>34</v>
      </c>
      <c r="H104" s="8"/>
    </row>
    <row r="105" customFormat="false" ht="23.25" hidden="false" customHeight="true" outlineLevel="0" collapsed="false">
      <c r="A105" s="6" t="s">
        <v>223</v>
      </c>
      <c r="B105" s="6" t="s">
        <v>228</v>
      </c>
      <c r="C105" s="6" t="s">
        <v>215</v>
      </c>
      <c r="D105" s="6" t="s">
        <v>229</v>
      </c>
      <c r="E105" s="6" t="s">
        <v>47</v>
      </c>
      <c r="F105" s="6" t="s">
        <v>33</v>
      </c>
      <c r="G105" s="7" t="s">
        <v>34</v>
      </c>
      <c r="H105" s="6"/>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4" min="3" style="1" width="14"/>
    <col collapsed="false" customWidth="true" hidden="false" outlineLevel="0" max="5" min="5" style="1" width="16"/>
    <col collapsed="false" customWidth="true" hidden="false" outlineLevel="0" max="7" min="6" style="1" width="10"/>
    <col collapsed="false" customWidth="true" hidden="false" outlineLevel="0" max="8" min="8" style="1" width="26"/>
    <col collapsed="false" customWidth="true" hidden="false" outlineLevel="0" max="10" min="9" style="1" width="22"/>
    <col collapsed="false" customWidth="true" hidden="false" outlineLevel="0" max="11" min="11" style="1" width="30"/>
    <col collapsed="false" customWidth="true" hidden="false" outlineLevel="0" max="12" min="12" style="1" width="40"/>
  </cols>
  <sheetData>
    <row r="1" customFormat="false" ht="24" hidden="false" customHeight="true" outlineLevel="0" collapsed="false">
      <c r="A1" s="2" t="s">
        <v>230</v>
      </c>
      <c r="B1" s="2"/>
      <c r="C1" s="2"/>
      <c r="D1" s="2"/>
      <c r="E1" s="2"/>
      <c r="F1" s="2"/>
      <c r="G1" s="2"/>
      <c r="H1" s="2"/>
      <c r="I1" s="2"/>
      <c r="J1" s="2"/>
      <c r="K1" s="2"/>
      <c r="L1" s="2"/>
    </row>
    <row r="2" customFormat="false" ht="42" hidden="false" customHeight="true" outlineLevel="0" collapsed="false">
      <c r="A2" s="4" t="s">
        <v>231</v>
      </c>
      <c r="B2" s="4"/>
      <c r="C2" s="4"/>
      <c r="D2" s="4"/>
      <c r="E2" s="4"/>
      <c r="F2" s="4"/>
      <c r="G2" s="4"/>
      <c r="H2" s="4"/>
      <c r="I2" s="4"/>
      <c r="J2" s="4"/>
      <c r="K2" s="4"/>
      <c r="L2" s="4"/>
    </row>
    <row r="4" customFormat="false" ht="27.75" hidden="false" customHeight="true" outlineLevel="0" collapsed="false">
      <c r="A4" s="5" t="s">
        <v>232</v>
      </c>
      <c r="B4" s="5" t="s">
        <v>188</v>
      </c>
      <c r="C4" s="5" t="s">
        <v>233</v>
      </c>
      <c r="D4" s="5" t="s">
        <v>234</v>
      </c>
      <c r="E4" s="5" t="s">
        <v>235</v>
      </c>
      <c r="F4" s="5" t="s">
        <v>236</v>
      </c>
      <c r="G4" s="5" t="s">
        <v>237</v>
      </c>
      <c r="H4" s="5" t="s">
        <v>238</v>
      </c>
      <c r="I4" s="5" t="s">
        <v>239</v>
      </c>
      <c r="J4" s="5" t="s">
        <v>240</v>
      </c>
      <c r="K4" s="5" t="s">
        <v>241</v>
      </c>
      <c r="L4" s="5" t="s">
        <v>242</v>
      </c>
    </row>
    <row r="5" customFormat="false" ht="34.5" hidden="false" customHeight="true" outlineLevel="0" collapsed="false">
      <c r="A5" s="7" t="s">
        <v>243</v>
      </c>
      <c r="B5" s="7" t="s">
        <v>244</v>
      </c>
      <c r="C5" s="7" t="s">
        <v>245</v>
      </c>
      <c r="D5" s="7" t="s">
        <v>246</v>
      </c>
      <c r="E5" s="10" t="n">
        <v>5620000</v>
      </c>
      <c r="F5" s="7" t="n">
        <v>5.5483</v>
      </c>
      <c r="G5" s="7" t="n">
        <v>95.3238</v>
      </c>
      <c r="H5" s="7" t="s">
        <v>247</v>
      </c>
      <c r="I5" s="6" t="s">
        <v>248</v>
      </c>
      <c r="J5" s="6" t="s">
        <v>249</v>
      </c>
      <c r="K5" s="6" t="s">
        <v>250</v>
      </c>
      <c r="L5" s="7" t="s">
        <v>251</v>
      </c>
    </row>
    <row r="6" customFormat="false" ht="34.5" hidden="false" customHeight="true" outlineLevel="0" collapsed="false">
      <c r="A6" s="9" t="s">
        <v>252</v>
      </c>
      <c r="B6" s="9" t="s">
        <v>253</v>
      </c>
      <c r="C6" s="9" t="s">
        <v>245</v>
      </c>
      <c r="D6" s="9" t="s">
        <v>254</v>
      </c>
      <c r="E6" s="11" t="n">
        <v>15640000</v>
      </c>
      <c r="F6" s="9" t="n">
        <v>3.5952</v>
      </c>
      <c r="G6" s="9" t="n">
        <v>98.6722</v>
      </c>
      <c r="H6" s="9" t="s">
        <v>255</v>
      </c>
      <c r="I6" s="8" t="s">
        <v>256</v>
      </c>
      <c r="J6" s="8" t="s">
        <v>257</v>
      </c>
      <c r="K6" s="8" t="s">
        <v>250</v>
      </c>
      <c r="L6" s="9" t="s">
        <v>251</v>
      </c>
    </row>
    <row r="7" customFormat="false" ht="34.5" hidden="false" customHeight="true" outlineLevel="0" collapsed="false">
      <c r="A7" s="7" t="s">
        <v>258</v>
      </c>
      <c r="B7" s="7" t="s">
        <v>259</v>
      </c>
      <c r="C7" s="7" t="s">
        <v>245</v>
      </c>
      <c r="D7" s="7" t="s">
        <v>260</v>
      </c>
      <c r="E7" s="10" t="n">
        <v>5820000</v>
      </c>
      <c r="F7" s="7" t="n">
        <v>-0.9471</v>
      </c>
      <c r="G7" s="7" t="n">
        <v>100.4172</v>
      </c>
      <c r="H7" s="7" t="s">
        <v>261</v>
      </c>
      <c r="I7" s="6" t="s">
        <v>248</v>
      </c>
      <c r="J7" s="6" t="s">
        <v>262</v>
      </c>
      <c r="K7" s="6" t="s">
        <v>250</v>
      </c>
      <c r="L7" s="7" t="s">
        <v>251</v>
      </c>
    </row>
    <row r="8" customFormat="false" ht="34.5" hidden="false" customHeight="true" outlineLevel="0" collapsed="false">
      <c r="A8" s="9" t="s">
        <v>263</v>
      </c>
      <c r="B8" s="9" t="s">
        <v>264</v>
      </c>
      <c r="C8" s="9" t="s">
        <v>245</v>
      </c>
      <c r="D8" s="9" t="s">
        <v>265</v>
      </c>
      <c r="E8" s="11" t="n">
        <v>7100000</v>
      </c>
      <c r="F8" s="9" t="n">
        <v>0.5333</v>
      </c>
      <c r="G8" s="9" t="n">
        <v>101.45</v>
      </c>
      <c r="H8" s="9" t="s">
        <v>266</v>
      </c>
      <c r="I8" s="8" t="s">
        <v>248</v>
      </c>
      <c r="J8" s="8" t="s">
        <v>267</v>
      </c>
      <c r="K8" s="8" t="s">
        <v>250</v>
      </c>
      <c r="L8" s="9" t="s">
        <v>251</v>
      </c>
    </row>
    <row r="9" customFormat="false" ht="34.5" hidden="false" customHeight="true" outlineLevel="0" collapsed="false">
      <c r="A9" s="7" t="s">
        <v>268</v>
      </c>
      <c r="B9" s="7" t="s">
        <v>269</v>
      </c>
      <c r="C9" s="7" t="s">
        <v>245</v>
      </c>
      <c r="D9" s="7" t="s">
        <v>270</v>
      </c>
      <c r="E9" s="10" t="n">
        <v>2270000</v>
      </c>
      <c r="F9" s="7" t="n">
        <v>0.92</v>
      </c>
      <c r="G9" s="7" t="n">
        <v>104.46</v>
      </c>
      <c r="H9" s="7" t="s">
        <v>271</v>
      </c>
      <c r="I9" s="6" t="s">
        <v>248</v>
      </c>
      <c r="J9" s="6" t="s">
        <v>272</v>
      </c>
      <c r="K9" s="6" t="s">
        <v>250</v>
      </c>
      <c r="L9" s="7" t="s">
        <v>251</v>
      </c>
    </row>
    <row r="10" customFormat="false" ht="34.5" hidden="false" customHeight="true" outlineLevel="0" collapsed="false">
      <c r="A10" s="9" t="s">
        <v>273</v>
      </c>
      <c r="B10" s="9" t="s">
        <v>274</v>
      </c>
      <c r="C10" s="9" t="s">
        <v>245</v>
      </c>
      <c r="D10" s="9" t="s">
        <v>275</v>
      </c>
      <c r="E10" s="11" t="n">
        <v>3830000</v>
      </c>
      <c r="F10" s="9" t="n">
        <v>-1.61</v>
      </c>
      <c r="G10" s="9" t="n">
        <v>103.61</v>
      </c>
      <c r="H10" s="9" t="s">
        <v>276</v>
      </c>
      <c r="I10" s="8" t="s">
        <v>248</v>
      </c>
      <c r="J10" s="8" t="s">
        <v>277</v>
      </c>
      <c r="K10" s="8" t="s">
        <v>250</v>
      </c>
      <c r="L10" s="9" t="s">
        <v>251</v>
      </c>
    </row>
    <row r="11" customFormat="false" ht="34.5" hidden="false" customHeight="true" outlineLevel="0" collapsed="false">
      <c r="A11" s="7" t="s">
        <v>278</v>
      </c>
      <c r="B11" s="7" t="s">
        <v>279</v>
      </c>
      <c r="C11" s="7" t="s">
        <v>245</v>
      </c>
      <c r="D11" s="7" t="s">
        <v>280</v>
      </c>
      <c r="E11" s="10" t="n">
        <v>9060000</v>
      </c>
      <c r="F11" s="7" t="n">
        <v>-2.9761</v>
      </c>
      <c r="G11" s="7" t="n">
        <v>104.7754</v>
      </c>
      <c r="H11" s="7" t="s">
        <v>281</v>
      </c>
      <c r="I11" s="6" t="s">
        <v>248</v>
      </c>
      <c r="J11" s="6" t="s">
        <v>282</v>
      </c>
      <c r="K11" s="6" t="s">
        <v>250</v>
      </c>
      <c r="L11" s="7" t="s">
        <v>251</v>
      </c>
    </row>
    <row r="12" customFormat="false" ht="34.5" hidden="false" customHeight="true" outlineLevel="0" collapsed="false">
      <c r="A12" s="9" t="s">
        <v>283</v>
      </c>
      <c r="B12" s="9" t="s">
        <v>284</v>
      </c>
      <c r="C12" s="9" t="s">
        <v>245</v>
      </c>
      <c r="D12" s="9" t="s">
        <v>285</v>
      </c>
      <c r="E12" s="11" t="n">
        <v>1550000</v>
      </c>
      <c r="F12" s="9" t="n">
        <v>-2.1333</v>
      </c>
      <c r="G12" s="9" t="n">
        <v>106.1167</v>
      </c>
      <c r="H12" s="9" t="s">
        <v>286</v>
      </c>
      <c r="I12" s="8" t="s">
        <v>287</v>
      </c>
      <c r="J12" s="8" t="s">
        <v>288</v>
      </c>
      <c r="K12" s="8" t="s">
        <v>250</v>
      </c>
      <c r="L12" s="9" t="s">
        <v>251</v>
      </c>
    </row>
    <row r="13" customFormat="false" ht="34.5" hidden="false" customHeight="true" outlineLevel="0" collapsed="false">
      <c r="A13" s="7" t="s">
        <v>289</v>
      </c>
      <c r="B13" s="7" t="s">
        <v>290</v>
      </c>
      <c r="C13" s="7" t="s">
        <v>245</v>
      </c>
      <c r="D13" s="7" t="s">
        <v>291</v>
      </c>
      <c r="E13" s="10" t="n">
        <v>2130000</v>
      </c>
      <c r="F13" s="7" t="n">
        <v>-3.7928</v>
      </c>
      <c r="G13" s="7" t="n">
        <v>102.2608</v>
      </c>
      <c r="H13" s="7" t="s">
        <v>292</v>
      </c>
      <c r="I13" s="6" t="s">
        <v>248</v>
      </c>
      <c r="J13" s="6" t="s">
        <v>293</v>
      </c>
      <c r="K13" s="6" t="s">
        <v>250</v>
      </c>
      <c r="L13" s="7" t="s">
        <v>251</v>
      </c>
    </row>
    <row r="14" customFormat="false" ht="34.5" hidden="false" customHeight="true" outlineLevel="0" collapsed="false">
      <c r="A14" s="9" t="s">
        <v>294</v>
      </c>
      <c r="B14" s="9" t="s">
        <v>295</v>
      </c>
      <c r="C14" s="9" t="s">
        <v>245</v>
      </c>
      <c r="D14" s="9" t="s">
        <v>296</v>
      </c>
      <c r="E14" s="11" t="n">
        <v>9140000</v>
      </c>
      <c r="F14" s="9" t="n">
        <v>-5.4292</v>
      </c>
      <c r="G14" s="9" t="n">
        <v>105.261</v>
      </c>
      <c r="H14" s="9" t="s">
        <v>297</v>
      </c>
      <c r="I14" s="8" t="s">
        <v>248</v>
      </c>
      <c r="J14" s="8" t="s">
        <v>298</v>
      </c>
      <c r="K14" s="8" t="s">
        <v>250</v>
      </c>
      <c r="L14" s="9" t="s">
        <v>251</v>
      </c>
    </row>
    <row r="15" customFormat="false" ht="34.5" hidden="false" customHeight="true" outlineLevel="0" collapsed="false">
      <c r="A15" s="7" t="s">
        <v>299</v>
      </c>
      <c r="B15" s="7" t="s">
        <v>300</v>
      </c>
      <c r="C15" s="7" t="s">
        <v>301</v>
      </c>
      <c r="D15" s="7" t="s">
        <v>302</v>
      </c>
      <c r="E15" s="10" t="n">
        <v>11040000</v>
      </c>
      <c r="F15" s="7" t="n">
        <v>-6.2088</v>
      </c>
      <c r="G15" s="7" t="n">
        <v>106.8456</v>
      </c>
      <c r="H15" s="7" t="s">
        <v>303</v>
      </c>
      <c r="I15" s="6" t="s">
        <v>248</v>
      </c>
      <c r="J15" s="6" t="s">
        <v>304</v>
      </c>
      <c r="K15" s="6" t="s">
        <v>250</v>
      </c>
      <c r="L15" s="7" t="s">
        <v>251</v>
      </c>
    </row>
    <row r="16" customFormat="false" ht="34.5" hidden="false" customHeight="true" outlineLevel="0" collapsed="false">
      <c r="A16" s="9" t="s">
        <v>305</v>
      </c>
      <c r="B16" s="9" t="s">
        <v>306</v>
      </c>
      <c r="C16" s="9" t="s">
        <v>301</v>
      </c>
      <c r="D16" s="9" t="s">
        <v>307</v>
      </c>
      <c r="E16" s="11" t="n">
        <v>51320000</v>
      </c>
      <c r="F16" s="9" t="n">
        <v>-6.9175</v>
      </c>
      <c r="G16" s="9" t="n">
        <v>107.6191</v>
      </c>
      <c r="H16" s="9" t="s">
        <v>308</v>
      </c>
      <c r="I16" s="8" t="s">
        <v>248</v>
      </c>
      <c r="J16" s="8" t="s">
        <v>309</v>
      </c>
      <c r="K16" s="8" t="s">
        <v>250</v>
      </c>
      <c r="L16" s="9" t="s">
        <v>251</v>
      </c>
    </row>
    <row r="17" customFormat="false" ht="34.5" hidden="false" customHeight="true" outlineLevel="0" collapsed="false">
      <c r="A17" s="7" t="s">
        <v>310</v>
      </c>
      <c r="B17" s="7" t="s">
        <v>311</v>
      </c>
      <c r="C17" s="7" t="s">
        <v>301</v>
      </c>
      <c r="D17" s="7" t="s">
        <v>312</v>
      </c>
      <c r="E17" s="10" t="n">
        <v>38430000</v>
      </c>
      <c r="F17" s="7" t="n">
        <v>-6.9932</v>
      </c>
      <c r="G17" s="7" t="n">
        <v>110.4203</v>
      </c>
      <c r="H17" s="7" t="s">
        <v>313</v>
      </c>
      <c r="I17" s="6" t="s">
        <v>314</v>
      </c>
      <c r="J17" s="6" t="s">
        <v>315</v>
      </c>
      <c r="K17" s="6" t="s">
        <v>250</v>
      </c>
      <c r="L17" s="7" t="s">
        <v>251</v>
      </c>
    </row>
    <row r="18" customFormat="false" ht="34.5" hidden="false" customHeight="true" outlineLevel="0" collapsed="false">
      <c r="A18" s="9" t="s">
        <v>316</v>
      </c>
      <c r="B18" s="9" t="s">
        <v>317</v>
      </c>
      <c r="C18" s="9" t="s">
        <v>301</v>
      </c>
      <c r="D18" s="9" t="s">
        <v>318</v>
      </c>
      <c r="E18" s="11" t="n">
        <v>3740000</v>
      </c>
      <c r="F18" s="9" t="n">
        <v>-7.7956</v>
      </c>
      <c r="G18" s="9" t="n">
        <v>110.3695</v>
      </c>
      <c r="H18" s="9" t="s">
        <v>319</v>
      </c>
      <c r="I18" s="8" t="s">
        <v>248</v>
      </c>
      <c r="J18" s="8" t="s">
        <v>320</v>
      </c>
      <c r="K18" s="8" t="s">
        <v>250</v>
      </c>
      <c r="L18" s="9" t="s">
        <v>251</v>
      </c>
    </row>
    <row r="19" customFormat="false" ht="34.5" hidden="false" customHeight="true" outlineLevel="0" collapsed="false">
      <c r="A19" s="7" t="s">
        <v>321</v>
      </c>
      <c r="B19" s="7" t="s">
        <v>322</v>
      </c>
      <c r="C19" s="7" t="s">
        <v>301</v>
      </c>
      <c r="D19" s="7" t="s">
        <v>323</v>
      </c>
      <c r="E19" s="10" t="n">
        <v>41920000</v>
      </c>
      <c r="F19" s="7" t="n">
        <v>-7.2575</v>
      </c>
      <c r="G19" s="7" t="n">
        <v>112.7521</v>
      </c>
      <c r="H19" s="7" t="s">
        <v>324</v>
      </c>
      <c r="I19" s="6" t="s">
        <v>325</v>
      </c>
      <c r="J19" s="6" t="s">
        <v>326</v>
      </c>
      <c r="K19" s="6" t="s">
        <v>250</v>
      </c>
      <c r="L19" s="7" t="s">
        <v>251</v>
      </c>
    </row>
    <row r="20" customFormat="false" ht="34.5" hidden="false" customHeight="true" outlineLevel="0" collapsed="false">
      <c r="A20" s="9" t="s">
        <v>327</v>
      </c>
      <c r="B20" s="9" t="s">
        <v>328</v>
      </c>
      <c r="C20" s="9" t="s">
        <v>301</v>
      </c>
      <c r="D20" s="9" t="s">
        <v>329</v>
      </c>
      <c r="E20" s="11" t="n">
        <v>12880000</v>
      </c>
      <c r="F20" s="9" t="n">
        <v>-6.12</v>
      </c>
      <c r="G20" s="9" t="n">
        <v>106.15</v>
      </c>
      <c r="H20" s="9" t="s">
        <v>303</v>
      </c>
      <c r="I20" s="8" t="s">
        <v>248</v>
      </c>
      <c r="J20" s="8" t="s">
        <v>330</v>
      </c>
      <c r="K20" s="8" t="s">
        <v>250</v>
      </c>
      <c r="L20" s="9" t="s">
        <v>251</v>
      </c>
    </row>
    <row r="21" customFormat="false" ht="34.5" hidden="false" customHeight="true" outlineLevel="0" collapsed="false">
      <c r="A21" s="7" t="s">
        <v>331</v>
      </c>
      <c r="B21" s="7" t="s">
        <v>332</v>
      </c>
      <c r="C21" s="7" t="s">
        <v>333</v>
      </c>
      <c r="D21" s="7" t="s">
        <v>334</v>
      </c>
      <c r="E21" s="10" t="n">
        <v>4380000</v>
      </c>
      <c r="F21" s="7" t="n">
        <v>-8.6705</v>
      </c>
      <c r="G21" s="7" t="n">
        <v>115.2126</v>
      </c>
      <c r="H21" s="7" t="s">
        <v>335</v>
      </c>
      <c r="I21" s="6" t="s">
        <v>248</v>
      </c>
      <c r="J21" s="6" t="s">
        <v>336</v>
      </c>
      <c r="K21" s="6" t="s">
        <v>250</v>
      </c>
      <c r="L21" s="7" t="s">
        <v>251</v>
      </c>
    </row>
    <row r="22" customFormat="false" ht="34.5" hidden="false" customHeight="true" outlineLevel="0" collapsed="false">
      <c r="A22" s="9" t="s">
        <v>337</v>
      </c>
      <c r="B22" s="9" t="s">
        <v>338</v>
      </c>
      <c r="C22" s="9" t="s">
        <v>333</v>
      </c>
      <c r="D22" s="9" t="s">
        <v>339</v>
      </c>
      <c r="E22" s="11" t="n">
        <v>5750000</v>
      </c>
      <c r="F22" s="9" t="n">
        <v>-8.5833</v>
      </c>
      <c r="G22" s="9" t="n">
        <v>116.1167</v>
      </c>
      <c r="H22" s="9" t="s">
        <v>340</v>
      </c>
      <c r="I22" s="8" t="s">
        <v>341</v>
      </c>
      <c r="J22" s="8" t="s">
        <v>342</v>
      </c>
      <c r="K22" s="8" t="s">
        <v>250</v>
      </c>
      <c r="L22" s="9" t="s">
        <v>251</v>
      </c>
    </row>
    <row r="23" customFormat="false" ht="34.5" hidden="false" customHeight="true" outlineLevel="0" collapsed="false">
      <c r="A23" s="7" t="s">
        <v>343</v>
      </c>
      <c r="B23" s="7" t="s">
        <v>344</v>
      </c>
      <c r="C23" s="7" t="s">
        <v>333</v>
      </c>
      <c r="D23" s="7" t="s">
        <v>345</v>
      </c>
      <c r="E23" s="10" t="n">
        <v>5700000</v>
      </c>
      <c r="F23" s="7" t="n">
        <v>-10.1772</v>
      </c>
      <c r="G23" s="7" t="n">
        <v>123.607</v>
      </c>
      <c r="H23" s="7" t="s">
        <v>346</v>
      </c>
      <c r="I23" s="6" t="s">
        <v>347</v>
      </c>
      <c r="J23" s="6" t="s">
        <v>348</v>
      </c>
      <c r="K23" s="6" t="s">
        <v>250</v>
      </c>
      <c r="L23" s="7" t="s">
        <v>251</v>
      </c>
    </row>
    <row r="24" customFormat="false" ht="34.5" hidden="false" customHeight="true" outlineLevel="0" collapsed="false">
      <c r="A24" s="9" t="s">
        <v>349</v>
      </c>
      <c r="B24" s="9" t="s">
        <v>350</v>
      </c>
      <c r="C24" s="9" t="s">
        <v>351</v>
      </c>
      <c r="D24" s="9" t="s">
        <v>352</v>
      </c>
      <c r="E24" s="11" t="n">
        <v>5650000</v>
      </c>
      <c r="F24" s="9" t="n">
        <v>-0.0263</v>
      </c>
      <c r="G24" s="9" t="n">
        <v>109.3425</v>
      </c>
      <c r="H24" s="9" t="s">
        <v>353</v>
      </c>
      <c r="I24" s="8" t="s">
        <v>248</v>
      </c>
      <c r="J24" s="8" t="s">
        <v>354</v>
      </c>
      <c r="K24" s="8" t="s">
        <v>250</v>
      </c>
      <c r="L24" s="9" t="s">
        <v>251</v>
      </c>
    </row>
    <row r="25" customFormat="false" ht="34.5" hidden="false" customHeight="true" outlineLevel="0" collapsed="false">
      <c r="A25" s="7" t="s">
        <v>355</v>
      </c>
      <c r="B25" s="7" t="s">
        <v>356</v>
      </c>
      <c r="C25" s="7" t="s">
        <v>351</v>
      </c>
      <c r="D25" s="7" t="s">
        <v>357</v>
      </c>
      <c r="E25" s="10" t="n">
        <v>2830000</v>
      </c>
      <c r="F25" s="7" t="n">
        <v>-2.209</v>
      </c>
      <c r="G25" s="7" t="n">
        <v>113.9213</v>
      </c>
      <c r="H25" s="7" t="s">
        <v>358</v>
      </c>
      <c r="I25" s="6" t="s">
        <v>248</v>
      </c>
      <c r="J25" s="6" t="s">
        <v>359</v>
      </c>
      <c r="K25" s="6" t="s">
        <v>250</v>
      </c>
      <c r="L25" s="7" t="s">
        <v>251</v>
      </c>
    </row>
    <row r="26" customFormat="false" ht="34.5" hidden="false" customHeight="true" outlineLevel="0" collapsed="false">
      <c r="A26" s="9" t="s">
        <v>360</v>
      </c>
      <c r="B26" s="9" t="s">
        <v>361</v>
      </c>
      <c r="C26" s="9" t="s">
        <v>351</v>
      </c>
      <c r="D26" s="9" t="s">
        <v>362</v>
      </c>
      <c r="E26" s="11" t="n">
        <v>4310000</v>
      </c>
      <c r="F26" s="9" t="n">
        <v>-3.3186</v>
      </c>
      <c r="G26" s="9" t="n">
        <v>114.5944</v>
      </c>
      <c r="H26" s="9" t="s">
        <v>363</v>
      </c>
      <c r="I26" s="8" t="s">
        <v>248</v>
      </c>
      <c r="J26" s="8" t="s">
        <v>364</v>
      </c>
      <c r="K26" s="8" t="s">
        <v>250</v>
      </c>
      <c r="L26" s="9" t="s">
        <v>251</v>
      </c>
    </row>
    <row r="27" customFormat="false" ht="34.5" hidden="false" customHeight="true" outlineLevel="0" collapsed="false">
      <c r="A27" s="7" t="s">
        <v>365</v>
      </c>
      <c r="B27" s="7" t="s">
        <v>366</v>
      </c>
      <c r="C27" s="7" t="s">
        <v>351</v>
      </c>
      <c r="D27" s="7" t="s">
        <v>367</v>
      </c>
      <c r="E27" s="10" t="n">
        <v>4120000</v>
      </c>
      <c r="F27" s="7" t="n">
        <v>-0.5022</v>
      </c>
      <c r="G27" s="7" t="n">
        <v>117.1536</v>
      </c>
      <c r="H27" s="7" t="s">
        <v>368</v>
      </c>
      <c r="I27" s="6" t="s">
        <v>248</v>
      </c>
      <c r="J27" s="6" t="s">
        <v>369</v>
      </c>
      <c r="K27" s="6" t="s">
        <v>250</v>
      </c>
      <c r="L27" s="7" t="s">
        <v>251</v>
      </c>
    </row>
    <row r="28" customFormat="false" ht="34.5" hidden="false" customHeight="true" outlineLevel="0" collapsed="false">
      <c r="A28" s="9" t="s">
        <v>370</v>
      </c>
      <c r="B28" s="9" t="s">
        <v>371</v>
      </c>
      <c r="C28" s="9" t="s">
        <v>351</v>
      </c>
      <c r="D28" s="9" t="s">
        <v>372</v>
      </c>
      <c r="E28" s="11" t="n">
        <v>770627</v>
      </c>
      <c r="F28" s="9" t="n">
        <v>2.8386</v>
      </c>
      <c r="G28" s="9" t="n">
        <v>117.3617</v>
      </c>
      <c r="H28" s="9" t="s">
        <v>373</v>
      </c>
      <c r="I28" s="8" t="s">
        <v>248</v>
      </c>
      <c r="J28" s="8" t="s">
        <v>374</v>
      </c>
      <c r="K28" s="8" t="s">
        <v>250</v>
      </c>
      <c r="L28" s="9" t="s">
        <v>251</v>
      </c>
    </row>
    <row r="29" customFormat="false" ht="34.5" hidden="false" customHeight="true" outlineLevel="0" collapsed="false">
      <c r="A29" s="7" t="s">
        <v>375</v>
      </c>
      <c r="B29" s="7" t="s">
        <v>376</v>
      </c>
      <c r="C29" s="7" t="s">
        <v>377</v>
      </c>
      <c r="D29" s="7" t="s">
        <v>378</v>
      </c>
      <c r="E29" s="10" t="n">
        <v>2650000</v>
      </c>
      <c r="F29" s="7" t="n">
        <v>1.4748</v>
      </c>
      <c r="G29" s="7" t="n">
        <v>124.8421</v>
      </c>
      <c r="H29" s="7" t="s">
        <v>379</v>
      </c>
      <c r="I29" s="6" t="s">
        <v>380</v>
      </c>
      <c r="J29" s="6" t="s">
        <v>381</v>
      </c>
      <c r="K29" s="6" t="s">
        <v>250</v>
      </c>
      <c r="L29" s="7" t="s">
        <v>251</v>
      </c>
    </row>
    <row r="30" customFormat="false" ht="34.5" hidden="false" customHeight="true" outlineLevel="0" collapsed="false">
      <c r="A30" s="9" t="s">
        <v>382</v>
      </c>
      <c r="B30" s="9" t="s">
        <v>383</v>
      </c>
      <c r="C30" s="9" t="s">
        <v>377</v>
      </c>
      <c r="D30" s="9" t="s">
        <v>384</v>
      </c>
      <c r="E30" s="11" t="n">
        <v>3220000</v>
      </c>
      <c r="F30" s="9" t="n">
        <v>-0.9003</v>
      </c>
      <c r="G30" s="9" t="n">
        <v>119.8779</v>
      </c>
      <c r="H30" s="9" t="s">
        <v>385</v>
      </c>
      <c r="I30" s="8" t="s">
        <v>248</v>
      </c>
      <c r="J30" s="8" t="s">
        <v>386</v>
      </c>
      <c r="K30" s="8" t="s">
        <v>250</v>
      </c>
      <c r="L30" s="9" t="s">
        <v>251</v>
      </c>
    </row>
    <row r="31" customFormat="false" ht="34.5" hidden="false" customHeight="true" outlineLevel="0" collapsed="false">
      <c r="A31" s="7" t="s">
        <v>387</v>
      </c>
      <c r="B31" s="7" t="s">
        <v>388</v>
      </c>
      <c r="C31" s="7" t="s">
        <v>377</v>
      </c>
      <c r="D31" s="7" t="s">
        <v>389</v>
      </c>
      <c r="E31" s="10" t="n">
        <v>9530000</v>
      </c>
      <c r="F31" s="7" t="n">
        <v>-5.1477</v>
      </c>
      <c r="G31" s="7" t="n">
        <v>119.4327</v>
      </c>
      <c r="H31" s="7" t="s">
        <v>390</v>
      </c>
      <c r="I31" s="6" t="s">
        <v>248</v>
      </c>
      <c r="J31" s="6" t="s">
        <v>391</v>
      </c>
      <c r="K31" s="6" t="s">
        <v>250</v>
      </c>
      <c r="L31" s="7" t="s">
        <v>251</v>
      </c>
    </row>
    <row r="32" customFormat="false" ht="34.5" hidden="false" customHeight="true" outlineLevel="0" collapsed="false">
      <c r="A32" s="9" t="s">
        <v>392</v>
      </c>
      <c r="B32" s="9" t="s">
        <v>393</v>
      </c>
      <c r="C32" s="9" t="s">
        <v>377</v>
      </c>
      <c r="D32" s="9" t="s">
        <v>394</v>
      </c>
      <c r="E32" s="11" t="n">
        <v>2820000</v>
      </c>
      <c r="F32" s="9" t="n">
        <v>-3.945</v>
      </c>
      <c r="G32" s="9" t="n">
        <v>122.5</v>
      </c>
      <c r="H32" s="9" t="s">
        <v>395</v>
      </c>
      <c r="I32" s="8" t="s">
        <v>396</v>
      </c>
      <c r="J32" s="8" t="s">
        <v>397</v>
      </c>
      <c r="K32" s="8" t="s">
        <v>250</v>
      </c>
      <c r="L32" s="9" t="s">
        <v>251</v>
      </c>
    </row>
    <row r="33" customFormat="false" ht="34.5" hidden="false" customHeight="true" outlineLevel="0" collapsed="false">
      <c r="A33" s="7" t="s">
        <v>398</v>
      </c>
      <c r="B33" s="7" t="s">
        <v>399</v>
      </c>
      <c r="C33" s="7" t="s">
        <v>377</v>
      </c>
      <c r="D33" s="7" t="s">
        <v>400</v>
      </c>
      <c r="E33" s="10" t="n">
        <v>1250000</v>
      </c>
      <c r="F33" s="7" t="n">
        <v>0.5435</v>
      </c>
      <c r="G33" s="7" t="n">
        <v>123.0568</v>
      </c>
      <c r="H33" s="7" t="s">
        <v>401</v>
      </c>
      <c r="I33" s="6" t="s">
        <v>248</v>
      </c>
      <c r="J33" s="6" t="s">
        <v>402</v>
      </c>
      <c r="K33" s="6" t="s">
        <v>250</v>
      </c>
      <c r="L33" s="7" t="s">
        <v>251</v>
      </c>
    </row>
    <row r="34" customFormat="false" ht="34.5" hidden="false" customHeight="true" outlineLevel="0" collapsed="false">
      <c r="A34" s="9" t="s">
        <v>403</v>
      </c>
      <c r="B34" s="9" t="s">
        <v>404</v>
      </c>
      <c r="C34" s="9" t="s">
        <v>377</v>
      </c>
      <c r="D34" s="9" t="s">
        <v>405</v>
      </c>
      <c r="E34" s="11" t="n">
        <v>1470000</v>
      </c>
      <c r="F34" s="9" t="n">
        <v>-2.6785</v>
      </c>
      <c r="G34" s="9" t="n">
        <v>118.8877</v>
      </c>
      <c r="H34" s="9" t="s">
        <v>406</v>
      </c>
      <c r="I34" s="8" t="s">
        <v>248</v>
      </c>
      <c r="J34" s="8" t="s">
        <v>407</v>
      </c>
      <c r="K34" s="8" t="s">
        <v>250</v>
      </c>
      <c r="L34" s="9" t="s">
        <v>251</v>
      </c>
    </row>
    <row r="35" customFormat="false" ht="34.5" hidden="false" customHeight="true" outlineLevel="0" collapsed="false">
      <c r="A35" s="7" t="s">
        <v>408</v>
      </c>
      <c r="B35" s="7" t="s">
        <v>409</v>
      </c>
      <c r="C35" s="7" t="s">
        <v>409</v>
      </c>
      <c r="D35" s="7" t="s">
        <v>410</v>
      </c>
      <c r="E35" s="10" t="n">
        <v>1940000</v>
      </c>
      <c r="F35" s="7" t="n">
        <v>-3.6954</v>
      </c>
      <c r="G35" s="7" t="n">
        <v>128.1814</v>
      </c>
      <c r="H35" s="7" t="s">
        <v>411</v>
      </c>
      <c r="I35" s="6" t="s">
        <v>248</v>
      </c>
      <c r="J35" s="6" t="s">
        <v>412</v>
      </c>
      <c r="K35" s="6" t="s">
        <v>250</v>
      </c>
      <c r="L35" s="7" t="s">
        <v>251</v>
      </c>
    </row>
    <row r="36" customFormat="false" ht="34.5" hidden="false" customHeight="true" outlineLevel="0" collapsed="false">
      <c r="A36" s="9" t="s">
        <v>413</v>
      </c>
      <c r="B36" s="9" t="s">
        <v>414</v>
      </c>
      <c r="C36" s="9" t="s">
        <v>409</v>
      </c>
      <c r="D36" s="9" t="s">
        <v>415</v>
      </c>
      <c r="E36" s="11" t="n">
        <v>1390000</v>
      </c>
      <c r="F36" s="9" t="n">
        <v>0.75</v>
      </c>
      <c r="G36" s="9" t="n">
        <v>127.5667</v>
      </c>
      <c r="H36" s="9" t="s">
        <v>416</v>
      </c>
      <c r="I36" s="8" t="s">
        <v>417</v>
      </c>
      <c r="J36" s="8" t="s">
        <v>418</v>
      </c>
      <c r="K36" s="8" t="s">
        <v>250</v>
      </c>
      <c r="L36" s="9" t="s">
        <v>251</v>
      </c>
    </row>
    <row r="37" customFormat="false" ht="34.5" hidden="false" customHeight="true" outlineLevel="0" collapsed="false">
      <c r="A37" s="7" t="s">
        <v>419</v>
      </c>
      <c r="B37" s="7" t="s">
        <v>420</v>
      </c>
      <c r="C37" s="7" t="s">
        <v>420</v>
      </c>
      <c r="D37" s="7" t="s">
        <v>421</v>
      </c>
      <c r="E37" s="10" t="n">
        <v>1100000</v>
      </c>
      <c r="F37" s="7" t="n">
        <v>-2.533</v>
      </c>
      <c r="G37" s="7" t="n">
        <v>140.7181</v>
      </c>
      <c r="H37" s="7" t="s">
        <v>422</v>
      </c>
      <c r="I37" s="6" t="s">
        <v>248</v>
      </c>
      <c r="J37" s="6" t="s">
        <v>423</v>
      </c>
      <c r="K37" s="6" t="s">
        <v>250</v>
      </c>
      <c r="L37" s="7" t="s">
        <v>251</v>
      </c>
    </row>
    <row r="38" customFormat="false" ht="34.5" hidden="false" customHeight="true" outlineLevel="0" collapsed="false">
      <c r="A38" s="9" t="s">
        <v>424</v>
      </c>
      <c r="B38" s="9" t="s">
        <v>425</v>
      </c>
      <c r="C38" s="9" t="s">
        <v>420</v>
      </c>
      <c r="D38" s="9" t="s">
        <v>426</v>
      </c>
      <c r="E38" s="11" t="n">
        <v>576255</v>
      </c>
      <c r="F38" s="9" t="n">
        <v>-0.8619</v>
      </c>
      <c r="G38" s="9" t="n">
        <v>134.062</v>
      </c>
      <c r="H38" s="9" t="s">
        <v>427</v>
      </c>
      <c r="I38" s="8" t="s">
        <v>428</v>
      </c>
      <c r="J38" s="8" t="s">
        <v>429</v>
      </c>
      <c r="K38" s="8" t="s">
        <v>250</v>
      </c>
      <c r="L38" s="9" t="s">
        <v>251</v>
      </c>
    </row>
    <row r="39" customFormat="false" ht="34.5" hidden="false" customHeight="true" outlineLevel="0" collapsed="false">
      <c r="A39" s="7" t="s">
        <v>430</v>
      </c>
      <c r="B39" s="7" t="s">
        <v>431</v>
      </c>
      <c r="C39" s="7" t="s">
        <v>420</v>
      </c>
      <c r="D39" s="7" t="s">
        <v>432</v>
      </c>
      <c r="E39" s="10" t="n">
        <v>623186</v>
      </c>
      <c r="F39" s="7" t="n">
        <v>-0.8762</v>
      </c>
      <c r="G39" s="7" t="n">
        <v>131.2558</v>
      </c>
      <c r="H39" s="7" t="s">
        <v>433</v>
      </c>
      <c r="I39" s="6" t="s">
        <v>248</v>
      </c>
      <c r="J39" s="6" t="s">
        <v>434</v>
      </c>
      <c r="K39" s="6" t="s">
        <v>250</v>
      </c>
      <c r="L39" s="7" t="s">
        <v>251</v>
      </c>
    </row>
    <row r="40" customFormat="false" ht="34.5" hidden="false" customHeight="true" outlineLevel="0" collapsed="false">
      <c r="A40" s="9" t="s">
        <v>435</v>
      </c>
      <c r="B40" s="9" t="s">
        <v>436</v>
      </c>
      <c r="C40" s="9" t="s">
        <v>420</v>
      </c>
      <c r="D40" s="9" t="s">
        <v>437</v>
      </c>
      <c r="E40" s="11" t="n">
        <v>1370000</v>
      </c>
      <c r="F40" s="9" t="n">
        <v>-3.3667</v>
      </c>
      <c r="G40" s="9" t="n">
        <v>135.4833</v>
      </c>
      <c r="H40" s="9" t="s">
        <v>438</v>
      </c>
      <c r="I40" s="8" t="s">
        <v>248</v>
      </c>
      <c r="J40" s="8" t="s">
        <v>439</v>
      </c>
      <c r="K40" s="8" t="s">
        <v>250</v>
      </c>
      <c r="L40" s="9" t="s">
        <v>251</v>
      </c>
    </row>
    <row r="41" customFormat="false" ht="34.5" hidden="false" customHeight="true" outlineLevel="0" collapsed="false">
      <c r="A41" s="7" t="s">
        <v>440</v>
      </c>
      <c r="B41" s="7" t="s">
        <v>441</v>
      </c>
      <c r="C41" s="7" t="s">
        <v>420</v>
      </c>
      <c r="D41" s="7" t="s">
        <v>442</v>
      </c>
      <c r="E41" s="10" t="n">
        <v>1470000</v>
      </c>
      <c r="F41" s="7" t="n">
        <v>-4.0847</v>
      </c>
      <c r="G41" s="7" t="n">
        <v>138.955</v>
      </c>
      <c r="H41" s="7" t="s">
        <v>443</v>
      </c>
      <c r="I41" s="6" t="s">
        <v>248</v>
      </c>
      <c r="J41" s="6" t="s">
        <v>444</v>
      </c>
      <c r="K41" s="6" t="s">
        <v>250</v>
      </c>
      <c r="L41" s="7" t="s">
        <v>251</v>
      </c>
    </row>
    <row r="42" customFormat="false" ht="34.5" hidden="false" customHeight="true" outlineLevel="0" collapsed="false">
      <c r="A42" s="9" t="s">
        <v>445</v>
      </c>
      <c r="B42" s="9" t="s">
        <v>446</v>
      </c>
      <c r="C42" s="9" t="s">
        <v>420</v>
      </c>
      <c r="D42" s="9" t="s">
        <v>447</v>
      </c>
      <c r="E42" s="11" t="n">
        <v>562220</v>
      </c>
      <c r="F42" s="9" t="n">
        <v>-8.4667</v>
      </c>
      <c r="G42" s="9" t="n">
        <v>140.4</v>
      </c>
      <c r="H42" s="9" t="s">
        <v>448</v>
      </c>
      <c r="I42" s="8" t="s">
        <v>248</v>
      </c>
      <c r="J42" s="8" t="s">
        <v>449</v>
      </c>
      <c r="K42" s="8" t="s">
        <v>250</v>
      </c>
      <c r="L42" s="9" t="s">
        <v>251</v>
      </c>
    </row>
    <row r="43" customFormat="false" ht="15" hidden="false" customHeight="true" outlineLevel="0" collapsed="false">
      <c r="A43" s="12"/>
      <c r="B43" s="13" t="s">
        <v>450</v>
      </c>
      <c r="C43" s="12"/>
      <c r="D43" s="12"/>
      <c r="E43" s="14" t="n">
        <f aca="false">SUM(E5:E42)</f>
        <v>284972288</v>
      </c>
      <c r="F43" s="12"/>
      <c r="G43" s="12"/>
      <c r="H43" s="12"/>
      <c r="I43" s="12"/>
      <c r="J43" s="12"/>
      <c r="K43" s="12"/>
      <c r="L43" s="12"/>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6" topLeftCell="A4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4"/>
    <col collapsed="false" customWidth="true" hidden="false" outlineLevel="0" max="4" min="4" style="1" width="20"/>
    <col collapsed="false" customWidth="true" hidden="false" outlineLevel="0" max="5" min="5" style="1" width="14"/>
    <col collapsed="false" customWidth="true" hidden="false" outlineLevel="0" max="6" min="6" style="1" width="30"/>
    <col collapsed="false" customWidth="true" hidden="false" outlineLevel="0" max="7" min="7" style="1" width="34"/>
    <col collapsed="false" customWidth="true" hidden="false" outlineLevel="0" max="8" min="8" style="1" width="44"/>
  </cols>
  <sheetData>
    <row r="1" customFormat="false" ht="24" hidden="false" customHeight="true" outlineLevel="0" collapsed="false">
      <c r="A1" s="2" t="s">
        <v>451</v>
      </c>
      <c r="B1" s="2"/>
      <c r="C1" s="2"/>
      <c r="D1" s="2"/>
      <c r="E1" s="2"/>
      <c r="F1" s="2"/>
      <c r="G1" s="2"/>
      <c r="H1" s="2"/>
    </row>
    <row r="2" customFormat="false" ht="27.75" hidden="false" customHeight="true" outlineLevel="0" collapsed="false">
      <c r="A2" s="4" t="s">
        <v>452</v>
      </c>
      <c r="B2" s="4"/>
      <c r="C2" s="4"/>
      <c r="D2" s="4"/>
      <c r="E2" s="4"/>
      <c r="F2" s="4"/>
      <c r="G2" s="4"/>
      <c r="H2" s="4"/>
    </row>
    <row r="4" customFormat="false" ht="27.75" hidden="false" customHeight="true" outlineLevel="0" collapsed="false">
      <c r="A4" s="5" t="s">
        <v>17</v>
      </c>
      <c r="B4" s="5" t="s">
        <v>453</v>
      </c>
      <c r="C4" s="5" t="s">
        <v>454</v>
      </c>
      <c r="D4" s="5" t="s">
        <v>455</v>
      </c>
      <c r="E4" s="5" t="s">
        <v>456</v>
      </c>
      <c r="F4" s="5" t="s">
        <v>19</v>
      </c>
      <c r="G4" s="5" t="s">
        <v>457</v>
      </c>
      <c r="H4" s="5" t="s">
        <v>458</v>
      </c>
    </row>
    <row r="5" customFormat="false" ht="23.25" hidden="false" customHeight="true" outlineLevel="0" collapsed="false">
      <c r="A5" s="7" t="s">
        <v>459</v>
      </c>
      <c r="B5" s="6" t="s">
        <v>460</v>
      </c>
      <c r="C5" s="6" t="s">
        <v>461</v>
      </c>
      <c r="D5" s="7" t="s">
        <v>462</v>
      </c>
      <c r="E5" s="7" t="s">
        <v>463</v>
      </c>
      <c r="F5" s="6" t="s">
        <v>464</v>
      </c>
      <c r="G5" s="6" t="s">
        <v>465</v>
      </c>
      <c r="H5" s="6" t="s">
        <v>466</v>
      </c>
    </row>
    <row r="6" customFormat="false" ht="23.25" hidden="false" customHeight="true" outlineLevel="0" collapsed="false">
      <c r="A6" s="9" t="s">
        <v>459</v>
      </c>
      <c r="B6" s="8" t="s">
        <v>467</v>
      </c>
      <c r="C6" s="8" t="s">
        <v>468</v>
      </c>
      <c r="D6" s="9" t="s">
        <v>469</v>
      </c>
      <c r="E6" s="9" t="s">
        <v>470</v>
      </c>
      <c r="F6" s="8" t="s">
        <v>471</v>
      </c>
      <c r="G6" s="8" t="s">
        <v>465</v>
      </c>
      <c r="H6" s="8" t="s">
        <v>466</v>
      </c>
    </row>
    <row r="7" customFormat="false" ht="23.25" hidden="false" customHeight="true" outlineLevel="0" collapsed="false">
      <c r="A7" s="7" t="s">
        <v>459</v>
      </c>
      <c r="B7" s="6" t="s">
        <v>472</v>
      </c>
      <c r="C7" s="6" t="s">
        <v>278</v>
      </c>
      <c r="D7" s="7" t="s">
        <v>473</v>
      </c>
      <c r="E7" s="7" t="s">
        <v>474</v>
      </c>
      <c r="F7" s="6" t="s">
        <v>471</v>
      </c>
      <c r="G7" s="6" t="s">
        <v>465</v>
      </c>
      <c r="H7" s="6" t="s">
        <v>466</v>
      </c>
    </row>
    <row r="8" customFormat="false" ht="23.25" hidden="false" customHeight="true" outlineLevel="0" collapsed="false">
      <c r="A8" s="9" t="s">
        <v>459</v>
      </c>
      <c r="B8" s="8" t="s">
        <v>475</v>
      </c>
      <c r="C8" s="8" t="s">
        <v>243</v>
      </c>
      <c r="D8" s="9" t="s">
        <v>476</v>
      </c>
      <c r="E8" s="9" t="s">
        <v>470</v>
      </c>
      <c r="F8" s="8" t="s">
        <v>471</v>
      </c>
      <c r="G8" s="8" t="s">
        <v>465</v>
      </c>
      <c r="H8" s="8" t="s">
        <v>466</v>
      </c>
    </row>
    <row r="9" customFormat="false" ht="23.25" hidden="false" customHeight="true" outlineLevel="0" collapsed="false">
      <c r="A9" s="7" t="s">
        <v>477</v>
      </c>
      <c r="B9" s="6" t="s">
        <v>478</v>
      </c>
      <c r="C9" s="6" t="s">
        <v>479</v>
      </c>
      <c r="D9" s="7" t="s">
        <v>480</v>
      </c>
      <c r="E9" s="7" t="s">
        <v>481</v>
      </c>
      <c r="F9" s="6" t="s">
        <v>482</v>
      </c>
      <c r="G9" s="6" t="s">
        <v>54</v>
      </c>
      <c r="H9" s="6"/>
    </row>
    <row r="10" customFormat="false" ht="34.5" hidden="false" customHeight="true" outlineLevel="0" collapsed="false">
      <c r="A10" s="9" t="s">
        <v>477</v>
      </c>
      <c r="B10" s="8" t="s">
        <v>483</v>
      </c>
      <c r="C10" s="8" t="s">
        <v>484</v>
      </c>
      <c r="D10" s="9" t="s">
        <v>485</v>
      </c>
      <c r="E10" s="9" t="s">
        <v>470</v>
      </c>
      <c r="F10" s="8" t="s">
        <v>27</v>
      </c>
      <c r="G10" s="8" t="s">
        <v>486</v>
      </c>
      <c r="H10" s="8" t="s">
        <v>487</v>
      </c>
    </row>
    <row r="11" customFormat="false" ht="34.5" hidden="false" customHeight="true" outlineLevel="0" collapsed="false">
      <c r="A11" s="7" t="s">
        <v>477</v>
      </c>
      <c r="B11" s="6" t="s">
        <v>488</v>
      </c>
      <c r="C11" s="6" t="s">
        <v>489</v>
      </c>
      <c r="D11" s="7" t="s">
        <v>490</v>
      </c>
      <c r="E11" s="7" t="s">
        <v>470</v>
      </c>
      <c r="F11" s="6" t="s">
        <v>27</v>
      </c>
      <c r="G11" s="6" t="s">
        <v>486</v>
      </c>
      <c r="H11" s="6" t="s">
        <v>487</v>
      </c>
    </row>
    <row r="12" customFormat="false" ht="34.5" hidden="false" customHeight="true" outlineLevel="0" collapsed="false">
      <c r="A12" s="9" t="s">
        <v>477</v>
      </c>
      <c r="B12" s="8" t="s">
        <v>491</v>
      </c>
      <c r="C12" s="8" t="s">
        <v>492</v>
      </c>
      <c r="D12" s="9" t="s">
        <v>493</v>
      </c>
      <c r="E12" s="9" t="s">
        <v>470</v>
      </c>
      <c r="F12" s="8" t="s">
        <v>27</v>
      </c>
      <c r="G12" s="8" t="s">
        <v>486</v>
      </c>
      <c r="H12" s="8" t="s">
        <v>487</v>
      </c>
    </row>
    <row r="13" customFormat="false" ht="34.5" hidden="false" customHeight="true" outlineLevel="0" collapsed="false">
      <c r="A13" s="7" t="s">
        <v>477</v>
      </c>
      <c r="B13" s="6" t="s">
        <v>494</v>
      </c>
      <c r="C13" s="6" t="s">
        <v>495</v>
      </c>
      <c r="D13" s="7" t="s">
        <v>496</v>
      </c>
      <c r="E13" s="7" t="s">
        <v>470</v>
      </c>
      <c r="F13" s="6" t="s">
        <v>27</v>
      </c>
      <c r="G13" s="6" t="s">
        <v>486</v>
      </c>
      <c r="H13" s="6" t="s">
        <v>487</v>
      </c>
    </row>
    <row r="14" customFormat="false" ht="23.25" hidden="false" customHeight="true" outlineLevel="0" collapsed="false">
      <c r="A14" s="9" t="s">
        <v>477</v>
      </c>
      <c r="B14" s="8" t="s">
        <v>497</v>
      </c>
      <c r="C14" s="8" t="s">
        <v>498</v>
      </c>
      <c r="D14" s="9" t="s">
        <v>493</v>
      </c>
      <c r="E14" s="9" t="s">
        <v>470</v>
      </c>
      <c r="F14" s="8" t="s">
        <v>27</v>
      </c>
      <c r="G14" s="8" t="s">
        <v>486</v>
      </c>
      <c r="H14" s="8"/>
    </row>
    <row r="15" customFormat="false" ht="15" hidden="false" customHeight="true" outlineLevel="0" collapsed="false">
      <c r="A15" s="7" t="s">
        <v>477</v>
      </c>
      <c r="B15" s="6" t="s">
        <v>499</v>
      </c>
      <c r="C15" s="6" t="s">
        <v>500</v>
      </c>
      <c r="D15" s="7" t="s">
        <v>493</v>
      </c>
      <c r="E15" s="7" t="s">
        <v>470</v>
      </c>
      <c r="F15" s="6" t="s">
        <v>27</v>
      </c>
      <c r="G15" s="6" t="s">
        <v>486</v>
      </c>
      <c r="H15" s="6"/>
    </row>
    <row r="16" customFormat="false" ht="23.25" hidden="false" customHeight="true" outlineLevel="0" collapsed="false">
      <c r="A16" s="9" t="s">
        <v>477</v>
      </c>
      <c r="B16" s="8" t="s">
        <v>501</v>
      </c>
      <c r="C16" s="8" t="s">
        <v>502</v>
      </c>
      <c r="D16" s="9" t="s">
        <v>503</v>
      </c>
      <c r="E16" s="9" t="s">
        <v>504</v>
      </c>
      <c r="F16" s="8" t="s">
        <v>505</v>
      </c>
      <c r="G16" s="8" t="s">
        <v>506</v>
      </c>
      <c r="H16" s="8"/>
    </row>
    <row r="17" customFormat="false" ht="23.25" hidden="false" customHeight="true" outlineLevel="0" collapsed="false">
      <c r="A17" s="7" t="s">
        <v>477</v>
      </c>
      <c r="B17" s="6" t="s">
        <v>507</v>
      </c>
      <c r="C17" s="6" t="s">
        <v>508</v>
      </c>
      <c r="D17" s="7" t="s">
        <v>485</v>
      </c>
      <c r="E17" s="7" t="s">
        <v>509</v>
      </c>
      <c r="F17" s="6" t="s">
        <v>505</v>
      </c>
      <c r="G17" s="6" t="s">
        <v>506</v>
      </c>
      <c r="H17" s="6"/>
    </row>
    <row r="18" customFormat="false" ht="23.25" hidden="false" customHeight="true" outlineLevel="0" collapsed="false">
      <c r="A18" s="9" t="s">
        <v>477</v>
      </c>
      <c r="B18" s="8" t="s">
        <v>510</v>
      </c>
      <c r="C18" s="8" t="s">
        <v>511</v>
      </c>
      <c r="D18" s="9" t="s">
        <v>490</v>
      </c>
      <c r="E18" s="9" t="s">
        <v>509</v>
      </c>
      <c r="F18" s="8" t="s">
        <v>505</v>
      </c>
      <c r="G18" s="8" t="s">
        <v>506</v>
      </c>
      <c r="H18" s="8"/>
    </row>
    <row r="19" customFormat="false" ht="23.25" hidden="false" customHeight="true" outlineLevel="0" collapsed="false">
      <c r="A19" s="7" t="s">
        <v>477</v>
      </c>
      <c r="B19" s="6" t="s">
        <v>512</v>
      </c>
      <c r="C19" s="6" t="s">
        <v>513</v>
      </c>
      <c r="D19" s="7" t="s">
        <v>490</v>
      </c>
      <c r="E19" s="7" t="s">
        <v>509</v>
      </c>
      <c r="F19" s="6" t="s">
        <v>505</v>
      </c>
      <c r="G19" s="6" t="s">
        <v>506</v>
      </c>
      <c r="H19" s="6"/>
    </row>
    <row r="20" customFormat="false" ht="23.25" hidden="false" customHeight="true" outlineLevel="0" collapsed="false">
      <c r="A20" s="9" t="s">
        <v>477</v>
      </c>
      <c r="B20" s="8" t="s">
        <v>514</v>
      </c>
      <c r="C20" s="8" t="s">
        <v>515</v>
      </c>
      <c r="D20" s="9" t="s">
        <v>485</v>
      </c>
      <c r="E20" s="9" t="s">
        <v>516</v>
      </c>
      <c r="F20" s="8" t="s">
        <v>27</v>
      </c>
      <c r="G20" s="8" t="s">
        <v>517</v>
      </c>
      <c r="H20" s="8"/>
    </row>
    <row r="21" customFormat="false" ht="23.25" hidden="false" customHeight="true" outlineLevel="0" collapsed="false">
      <c r="A21" s="7" t="s">
        <v>477</v>
      </c>
      <c r="B21" s="6" t="s">
        <v>518</v>
      </c>
      <c r="C21" s="6" t="s">
        <v>519</v>
      </c>
      <c r="D21" s="7" t="s">
        <v>520</v>
      </c>
      <c r="E21" s="7" t="s">
        <v>521</v>
      </c>
      <c r="F21" s="6" t="s">
        <v>27</v>
      </c>
      <c r="G21" s="6" t="s">
        <v>50</v>
      </c>
      <c r="H21" s="6"/>
    </row>
    <row r="22" customFormat="false" ht="34.5" hidden="false" customHeight="true" outlineLevel="0" collapsed="false">
      <c r="A22" s="9" t="s">
        <v>522</v>
      </c>
      <c r="B22" s="8" t="s">
        <v>523</v>
      </c>
      <c r="C22" s="8" t="s">
        <v>524</v>
      </c>
      <c r="D22" s="9" t="s">
        <v>525</v>
      </c>
      <c r="E22" s="9" t="s">
        <v>509</v>
      </c>
      <c r="F22" s="8" t="s">
        <v>526</v>
      </c>
      <c r="G22" s="8" t="s">
        <v>527</v>
      </c>
      <c r="H22" s="8"/>
    </row>
    <row r="23" customFormat="false" ht="23.25" hidden="false" customHeight="true" outlineLevel="0" collapsed="false">
      <c r="A23" s="7" t="s">
        <v>522</v>
      </c>
      <c r="B23" s="6" t="s">
        <v>528</v>
      </c>
      <c r="C23" s="6" t="s">
        <v>529</v>
      </c>
      <c r="D23" s="7" t="s">
        <v>530</v>
      </c>
      <c r="E23" s="7" t="s">
        <v>509</v>
      </c>
      <c r="F23" s="6" t="s">
        <v>526</v>
      </c>
      <c r="G23" s="6" t="s">
        <v>527</v>
      </c>
      <c r="H23" s="6"/>
    </row>
    <row r="24" customFormat="false" ht="23.25" hidden="false" customHeight="true" outlineLevel="0" collapsed="false">
      <c r="A24" s="9" t="s">
        <v>522</v>
      </c>
      <c r="B24" s="8" t="s">
        <v>531</v>
      </c>
      <c r="C24" s="8" t="s">
        <v>532</v>
      </c>
      <c r="D24" s="9" t="s">
        <v>530</v>
      </c>
      <c r="E24" s="9" t="s">
        <v>509</v>
      </c>
      <c r="F24" s="8" t="s">
        <v>526</v>
      </c>
      <c r="G24" s="8" t="s">
        <v>527</v>
      </c>
      <c r="H24" s="8"/>
    </row>
    <row r="25" customFormat="false" ht="23.25" hidden="false" customHeight="true" outlineLevel="0" collapsed="false">
      <c r="A25" s="7" t="s">
        <v>522</v>
      </c>
      <c r="B25" s="6" t="s">
        <v>533</v>
      </c>
      <c r="C25" s="6" t="s">
        <v>524</v>
      </c>
      <c r="D25" s="7" t="s">
        <v>530</v>
      </c>
      <c r="E25" s="7" t="s">
        <v>509</v>
      </c>
      <c r="F25" s="6" t="s">
        <v>526</v>
      </c>
      <c r="G25" s="6" t="s">
        <v>527</v>
      </c>
      <c r="H25" s="6"/>
    </row>
    <row r="26" customFormat="false" ht="23.25" hidden="false" customHeight="true" outlineLevel="0" collapsed="false">
      <c r="A26" s="9" t="s">
        <v>522</v>
      </c>
      <c r="B26" s="8" t="s">
        <v>534</v>
      </c>
      <c r="C26" s="8" t="s">
        <v>535</v>
      </c>
      <c r="D26" s="9" t="s">
        <v>530</v>
      </c>
      <c r="E26" s="9" t="s">
        <v>509</v>
      </c>
      <c r="F26" s="8" t="s">
        <v>526</v>
      </c>
      <c r="G26" s="8" t="s">
        <v>527</v>
      </c>
      <c r="H26" s="8"/>
    </row>
    <row r="27" customFormat="false" ht="23.25" hidden="false" customHeight="true" outlineLevel="0" collapsed="false">
      <c r="A27" s="7" t="s">
        <v>522</v>
      </c>
      <c r="B27" s="6" t="s">
        <v>536</v>
      </c>
      <c r="C27" s="6" t="s">
        <v>537</v>
      </c>
      <c r="D27" s="7" t="s">
        <v>530</v>
      </c>
      <c r="E27" s="7" t="s">
        <v>509</v>
      </c>
      <c r="F27" s="6" t="s">
        <v>526</v>
      </c>
      <c r="G27" s="6" t="s">
        <v>527</v>
      </c>
      <c r="H27" s="6"/>
    </row>
    <row r="28" customFormat="false" ht="23.25" hidden="false" customHeight="true" outlineLevel="0" collapsed="false">
      <c r="A28" s="9" t="s">
        <v>522</v>
      </c>
      <c r="B28" s="8" t="s">
        <v>538</v>
      </c>
      <c r="C28" s="8" t="s">
        <v>539</v>
      </c>
      <c r="D28" s="9" t="s">
        <v>530</v>
      </c>
      <c r="E28" s="9" t="s">
        <v>509</v>
      </c>
      <c r="F28" s="8" t="s">
        <v>526</v>
      </c>
      <c r="G28" s="8" t="s">
        <v>527</v>
      </c>
      <c r="H28" s="8"/>
    </row>
    <row r="29" customFormat="false" ht="34.5" hidden="false" customHeight="true" outlineLevel="0" collapsed="false">
      <c r="A29" s="7" t="s">
        <v>540</v>
      </c>
      <c r="B29" s="6" t="s">
        <v>541</v>
      </c>
      <c r="C29" s="6" t="s">
        <v>542</v>
      </c>
      <c r="D29" s="7" t="s">
        <v>485</v>
      </c>
      <c r="E29" s="7" t="s">
        <v>481</v>
      </c>
      <c r="F29" s="6" t="s">
        <v>27</v>
      </c>
      <c r="G29" s="6" t="s">
        <v>543</v>
      </c>
      <c r="H29" s="6" t="s">
        <v>544</v>
      </c>
    </row>
    <row r="31" customFormat="false" ht="15" hidden="false" customHeight="true" outlineLevel="0" collapsed="false">
      <c r="A31" s="15" t="s">
        <v>545</v>
      </c>
    </row>
    <row r="32" customFormat="false" ht="27.75" hidden="false" customHeight="true" outlineLevel="0" collapsed="false">
      <c r="A32" s="5" t="s">
        <v>199</v>
      </c>
      <c r="B32" s="5" t="s">
        <v>546</v>
      </c>
      <c r="C32" s="5" t="s">
        <v>547</v>
      </c>
    </row>
    <row r="33" customFormat="false" ht="15" hidden="false" customHeight="true" outlineLevel="0" collapsed="false">
      <c r="A33" s="7" t="s">
        <v>332</v>
      </c>
      <c r="B33" s="16" t="n">
        <v>75.44</v>
      </c>
      <c r="C33" s="7" t="s">
        <v>548</v>
      </c>
    </row>
    <row r="34" customFormat="false" ht="15" hidden="false" customHeight="true" outlineLevel="0" collapsed="false">
      <c r="A34" s="9" t="s">
        <v>549</v>
      </c>
      <c r="B34" s="17" t="n">
        <v>66.36</v>
      </c>
      <c r="C34" s="9" t="s">
        <v>548</v>
      </c>
    </row>
    <row r="35" customFormat="false" ht="15" hidden="false" customHeight="true" outlineLevel="0" collapsed="false">
      <c r="A35" s="7" t="s">
        <v>550</v>
      </c>
      <c r="B35" s="16" t="n">
        <v>48.25</v>
      </c>
      <c r="C35" s="7" t="s">
        <v>548</v>
      </c>
    </row>
    <row r="36" customFormat="false" ht="15" hidden="false" customHeight="true" outlineLevel="0" collapsed="false">
      <c r="A36" s="9" t="s">
        <v>551</v>
      </c>
      <c r="B36" s="17" t="n">
        <v>36.7</v>
      </c>
      <c r="C36" s="9" t="s">
        <v>548</v>
      </c>
    </row>
    <row r="37" customFormat="false" ht="15" hidden="false" customHeight="true" outlineLevel="0" collapsed="false">
      <c r="A37" s="7" t="s">
        <v>429</v>
      </c>
      <c r="B37" s="16" t="n">
        <v>21.9</v>
      </c>
      <c r="C37" s="7" t="s">
        <v>548</v>
      </c>
    </row>
    <row r="38" customFormat="false" ht="15" hidden="false" customHeight="true" outlineLevel="0" collapsed="false">
      <c r="A38" s="9" t="s">
        <v>326</v>
      </c>
      <c r="B38" s="17" t="n">
        <v>12.25</v>
      </c>
      <c r="C38" s="9" t="s">
        <v>548</v>
      </c>
    </row>
    <row r="39" customFormat="false" ht="15" hidden="false" customHeight="true" outlineLevel="0" collapsed="false">
      <c r="A39" s="7" t="s">
        <v>552</v>
      </c>
      <c r="B39" s="16" t="n">
        <v>11.6</v>
      </c>
      <c r="C39" s="7" t="s">
        <v>548</v>
      </c>
    </row>
    <row r="40" customFormat="false" ht="15" hidden="false" customHeight="true" outlineLevel="0" collapsed="false">
      <c r="A40" s="9" t="s">
        <v>553</v>
      </c>
      <c r="B40" s="17" t="n">
        <v>7.05</v>
      </c>
      <c r="C40" s="9" t="s">
        <v>548</v>
      </c>
    </row>
    <row r="41" customFormat="false" ht="15" hidden="false" customHeight="true" outlineLevel="0" collapsed="false">
      <c r="A41" s="7" t="s">
        <v>269</v>
      </c>
      <c r="B41" s="16" t="n">
        <v>7.05</v>
      </c>
      <c r="C41" s="7" t="s">
        <v>548</v>
      </c>
    </row>
    <row r="42" customFormat="false" ht="15" hidden="false" customHeight="true" outlineLevel="0" collapsed="false">
      <c r="A42" s="9" t="s">
        <v>554</v>
      </c>
      <c r="B42" s="17" t="n">
        <v>3.57</v>
      </c>
      <c r="C42" s="9" t="s">
        <v>548</v>
      </c>
    </row>
    <row r="43" customFormat="false" ht="15" hidden="false" customHeight="true" outlineLevel="0" collapsed="false">
      <c r="A43" s="7" t="s">
        <v>555</v>
      </c>
      <c r="B43" s="16" t="n">
        <v>1.79</v>
      </c>
      <c r="C43" s="7" t="s">
        <v>548</v>
      </c>
    </row>
    <row r="45" customFormat="false" ht="15" hidden="false" customHeight="true" outlineLevel="0" collapsed="false">
      <c r="A45" s="15" t="s">
        <v>556</v>
      </c>
    </row>
    <row r="46" customFormat="false" ht="27.75" hidden="false" customHeight="true" outlineLevel="0" collapsed="false">
      <c r="A46" s="5" t="s">
        <v>199</v>
      </c>
      <c r="B46" s="5" t="s">
        <v>557</v>
      </c>
      <c r="C46" s="5" t="s">
        <v>547</v>
      </c>
    </row>
    <row r="47" customFormat="false" ht="15" hidden="false" customHeight="true" outlineLevel="0" collapsed="false">
      <c r="A47" s="7" t="s">
        <v>558</v>
      </c>
      <c r="B47" s="16" t="n">
        <v>29.5</v>
      </c>
      <c r="C47" s="7" t="s">
        <v>559</v>
      </c>
    </row>
    <row r="48" customFormat="false" ht="15" hidden="false" customHeight="true" outlineLevel="0" collapsed="false">
      <c r="A48" s="9" t="s">
        <v>560</v>
      </c>
      <c r="B48" s="17" t="n">
        <v>18.05</v>
      </c>
      <c r="C48" s="9" t="s">
        <v>559</v>
      </c>
    </row>
    <row r="49" customFormat="false" ht="15" hidden="false" customHeight="true" outlineLevel="0" collapsed="false">
      <c r="A49" s="7" t="s">
        <v>561</v>
      </c>
      <c r="B49" s="16" t="n">
        <v>13.41</v>
      </c>
      <c r="C49" s="7" t="s">
        <v>559</v>
      </c>
    </row>
    <row r="50" customFormat="false" ht="15" hidden="false" customHeight="true" outlineLevel="0" collapsed="false">
      <c r="A50" s="9" t="s">
        <v>562</v>
      </c>
      <c r="B50" s="17" t="n">
        <v>54.84</v>
      </c>
      <c r="C50" s="9" t="s">
        <v>559</v>
      </c>
    </row>
    <row r="52" customFormat="false" ht="15" hidden="false" customHeight="true" outlineLevel="0" collapsed="false">
      <c r="A52" s="9" t="s">
        <v>563</v>
      </c>
      <c r="B52" s="9" t="s">
        <v>564</v>
      </c>
      <c r="C52" s="9" t="s">
        <v>565</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24"/>
    <col collapsed="false" customWidth="true" hidden="false" outlineLevel="0" max="4" min="4" style="1" width="22"/>
    <col collapsed="false" customWidth="true" hidden="false" outlineLevel="0" max="5" min="5" style="1" width="32"/>
    <col collapsed="false" customWidth="true" hidden="false" outlineLevel="0" max="6" min="6" style="1" width="46"/>
  </cols>
  <sheetData>
    <row r="1" customFormat="false" ht="24" hidden="false" customHeight="true" outlineLevel="0" collapsed="false">
      <c r="A1" s="2" t="s">
        <v>566</v>
      </c>
      <c r="B1" s="2"/>
      <c r="C1" s="2"/>
      <c r="D1" s="2"/>
      <c r="E1" s="2"/>
      <c r="F1" s="2"/>
    </row>
    <row r="2" customFormat="false" ht="55.5" hidden="false" customHeight="true" outlineLevel="0" collapsed="false">
      <c r="A2" s="4" t="s">
        <v>567</v>
      </c>
      <c r="B2" s="4"/>
      <c r="C2" s="4"/>
      <c r="D2" s="4"/>
      <c r="E2" s="4"/>
      <c r="F2" s="4"/>
    </row>
    <row r="4" customFormat="false" ht="27.75" hidden="false" customHeight="true" outlineLevel="0" collapsed="false">
      <c r="A4" s="5" t="s">
        <v>188</v>
      </c>
      <c r="B4" s="5" t="s">
        <v>568</v>
      </c>
      <c r="C4" s="5" t="s">
        <v>569</v>
      </c>
      <c r="D4" s="5" t="s">
        <v>570</v>
      </c>
      <c r="E4" s="5" t="s">
        <v>19</v>
      </c>
      <c r="F4" s="5" t="s">
        <v>458</v>
      </c>
    </row>
    <row r="5" customFormat="false" ht="23.25" hidden="false" customHeight="true" outlineLevel="0" collapsed="false">
      <c r="A5" s="7" t="s">
        <v>244</v>
      </c>
      <c r="B5" s="10" t="n">
        <v>6538386</v>
      </c>
      <c r="C5" s="10" t="n">
        <v>10844710</v>
      </c>
      <c r="D5" s="16" t="n">
        <v>65.86</v>
      </c>
      <c r="E5" s="6" t="s">
        <v>571</v>
      </c>
      <c r="F5" s="6" t="s">
        <v>572</v>
      </c>
    </row>
    <row r="6" customFormat="false" ht="23.25" hidden="false" customHeight="true" outlineLevel="0" collapsed="false">
      <c r="A6" s="9" t="s">
        <v>253</v>
      </c>
      <c r="B6" s="11" t="n">
        <v>20765613</v>
      </c>
      <c r="C6" s="11" t="n">
        <v>28626790</v>
      </c>
      <c r="D6" s="17" t="n">
        <v>37.86</v>
      </c>
      <c r="E6" s="8" t="s">
        <v>571</v>
      </c>
      <c r="F6" s="8" t="s">
        <v>572</v>
      </c>
    </row>
    <row r="7" customFormat="false" ht="23.25" hidden="false" customHeight="true" outlineLevel="0" collapsed="false">
      <c r="A7" s="7" t="s">
        <v>259</v>
      </c>
      <c r="B7" s="10" t="n">
        <v>8733909</v>
      </c>
      <c r="C7" s="10" t="n">
        <v>10864054</v>
      </c>
      <c r="D7" s="16" t="n">
        <v>24.39</v>
      </c>
      <c r="E7" s="6" t="s">
        <v>571</v>
      </c>
      <c r="F7" s="6" t="s">
        <v>572</v>
      </c>
    </row>
    <row r="8" customFormat="false" ht="23.25" hidden="false" customHeight="true" outlineLevel="0" collapsed="false">
      <c r="A8" s="9" t="s">
        <v>264</v>
      </c>
      <c r="B8" s="11" t="n">
        <v>10021395</v>
      </c>
      <c r="C8" s="11" t="n">
        <v>12856012</v>
      </c>
      <c r="D8" s="17" t="n">
        <v>28.29</v>
      </c>
      <c r="E8" s="8" t="s">
        <v>571</v>
      </c>
      <c r="F8" s="8" t="s">
        <v>572</v>
      </c>
    </row>
    <row r="9" customFormat="false" ht="23.25" hidden="false" customHeight="true" outlineLevel="0" collapsed="false">
      <c r="A9" s="7" t="s">
        <v>274</v>
      </c>
      <c r="B9" s="10" t="n">
        <v>4445319</v>
      </c>
      <c r="C9" s="10" t="n">
        <v>5777460</v>
      </c>
      <c r="D9" s="16" t="n">
        <v>29.97</v>
      </c>
      <c r="E9" s="6" t="s">
        <v>571</v>
      </c>
      <c r="F9" s="6" t="s">
        <v>572</v>
      </c>
    </row>
    <row r="10" customFormat="false" ht="23.25" hidden="false" customHeight="true" outlineLevel="0" collapsed="false">
      <c r="A10" s="9" t="s">
        <v>279</v>
      </c>
      <c r="B10" s="11" t="n">
        <v>9107658</v>
      </c>
      <c r="C10" s="11" t="n">
        <v>13430286</v>
      </c>
      <c r="D10" s="17" t="n">
        <v>47.46</v>
      </c>
      <c r="E10" s="8" t="s">
        <v>571</v>
      </c>
      <c r="F10" s="8" t="s">
        <v>572</v>
      </c>
    </row>
    <row r="11" customFormat="false" ht="23.25" hidden="false" customHeight="true" outlineLevel="0" collapsed="false">
      <c r="A11" s="7" t="s">
        <v>290</v>
      </c>
      <c r="B11" s="10" t="n">
        <v>2206031</v>
      </c>
      <c r="C11" s="10" t="n">
        <v>3535108</v>
      </c>
      <c r="D11" s="16" t="n">
        <v>60.25</v>
      </c>
      <c r="E11" s="6" t="s">
        <v>571</v>
      </c>
      <c r="F11" s="6" t="s">
        <v>572</v>
      </c>
    </row>
    <row r="12" customFormat="false" ht="23.25" hidden="false" customHeight="true" outlineLevel="0" collapsed="false">
      <c r="A12" s="9" t="s">
        <v>295</v>
      </c>
      <c r="B12" s="11" t="n">
        <v>9623565</v>
      </c>
      <c r="C12" s="11" t="n">
        <v>14125811</v>
      </c>
      <c r="D12" s="17" t="n">
        <v>46.78</v>
      </c>
      <c r="E12" s="8" t="s">
        <v>571</v>
      </c>
      <c r="F12" s="8" t="s">
        <v>572</v>
      </c>
    </row>
    <row r="13" customFormat="false" ht="23.25" hidden="false" customHeight="true" outlineLevel="0" collapsed="false">
      <c r="A13" s="7" t="s">
        <v>284</v>
      </c>
      <c r="B13" s="10" t="n">
        <v>1570111</v>
      </c>
      <c r="C13" s="10" t="n">
        <v>2422764</v>
      </c>
      <c r="D13" s="16" t="n">
        <v>54.31</v>
      </c>
      <c r="E13" s="6" t="s">
        <v>571</v>
      </c>
      <c r="F13" s="6" t="s">
        <v>572</v>
      </c>
    </row>
    <row r="14" customFormat="false" ht="23.25" hidden="false" customHeight="true" outlineLevel="0" collapsed="false">
      <c r="A14" s="9" t="s">
        <v>269</v>
      </c>
      <c r="B14" s="11" t="n">
        <v>1700373</v>
      </c>
      <c r="C14" s="11" t="n">
        <v>1995166</v>
      </c>
      <c r="D14" s="17" t="n">
        <v>17.34</v>
      </c>
      <c r="E14" s="8" t="s">
        <v>571</v>
      </c>
      <c r="F14" s="8" t="s">
        <v>572</v>
      </c>
    </row>
    <row r="15" customFormat="false" ht="23.25" hidden="false" customHeight="true" outlineLevel="0" collapsed="false">
      <c r="A15" s="7" t="s">
        <v>300</v>
      </c>
      <c r="B15" s="10" t="n">
        <v>44974558</v>
      </c>
      <c r="C15" s="10" t="n">
        <v>51393781</v>
      </c>
      <c r="D15" s="16" t="n">
        <v>14.27</v>
      </c>
      <c r="E15" s="6" t="s">
        <v>571</v>
      </c>
      <c r="F15" s="6" t="s">
        <v>572</v>
      </c>
    </row>
    <row r="16" customFormat="false" ht="23.25" hidden="false" customHeight="true" outlineLevel="0" collapsed="false">
      <c r="A16" s="9" t="s">
        <v>306</v>
      </c>
      <c r="B16" s="11" t="n">
        <v>89989559</v>
      </c>
      <c r="C16" s="11" t="n">
        <v>112264669</v>
      </c>
      <c r="D16" s="17" t="n">
        <v>24.75</v>
      </c>
      <c r="E16" s="8" t="s">
        <v>571</v>
      </c>
      <c r="F16" s="8" t="s">
        <v>572</v>
      </c>
    </row>
    <row r="17" customFormat="false" ht="23.25" hidden="false" customHeight="true" outlineLevel="0" collapsed="false">
      <c r="A17" s="7" t="s">
        <v>311</v>
      </c>
      <c r="B17" s="10" t="n">
        <v>68703917</v>
      </c>
      <c r="C17" s="10" t="n">
        <v>73169940</v>
      </c>
      <c r="D17" s="16" t="n">
        <v>6.5</v>
      </c>
      <c r="E17" s="6" t="s">
        <v>571</v>
      </c>
      <c r="F17" s="6" t="s">
        <v>572</v>
      </c>
    </row>
    <row r="18" customFormat="false" ht="23.25" hidden="false" customHeight="true" outlineLevel="0" collapsed="false">
      <c r="A18" s="9" t="s">
        <v>317</v>
      </c>
      <c r="B18" s="11" t="n">
        <v>15770496</v>
      </c>
      <c r="C18" s="11" t="n">
        <v>15931684</v>
      </c>
      <c r="D18" s="17" t="n">
        <v>1.02</v>
      </c>
      <c r="E18" s="8" t="s">
        <v>571</v>
      </c>
      <c r="F18" s="8" t="s">
        <v>572</v>
      </c>
    </row>
    <row r="19" customFormat="false" ht="23.25" hidden="false" customHeight="true" outlineLevel="0" collapsed="false">
      <c r="A19" s="7" t="s">
        <v>322</v>
      </c>
      <c r="B19" s="10" t="n">
        <v>110655856</v>
      </c>
      <c r="C19" s="10" t="n">
        <v>105665687</v>
      </c>
      <c r="D19" s="16" t="n">
        <v>-4.51</v>
      </c>
      <c r="E19" s="6" t="s">
        <v>571</v>
      </c>
      <c r="F19" s="6" t="s">
        <v>572</v>
      </c>
    </row>
    <row r="20" customFormat="false" ht="23.25" hidden="false" customHeight="true" outlineLevel="0" collapsed="false">
      <c r="A20" s="9" t="s">
        <v>328</v>
      </c>
      <c r="B20" s="11" t="n">
        <v>30111415</v>
      </c>
      <c r="C20" s="11" t="n">
        <v>39257933</v>
      </c>
      <c r="D20" s="17" t="n">
        <v>30.38</v>
      </c>
      <c r="E20" s="8" t="s">
        <v>571</v>
      </c>
      <c r="F20" s="8" t="s">
        <v>572</v>
      </c>
    </row>
    <row r="21" customFormat="false" ht="23.25" hidden="false" customHeight="true" outlineLevel="0" collapsed="false">
      <c r="A21" s="7" t="s">
        <v>332</v>
      </c>
      <c r="B21" s="10" t="n">
        <v>10933189</v>
      </c>
      <c r="C21" s="10" t="n">
        <v>13812296</v>
      </c>
      <c r="D21" s="16" t="n">
        <v>26.33</v>
      </c>
      <c r="E21" s="6" t="s">
        <v>571</v>
      </c>
      <c r="F21" s="6" t="s">
        <v>572</v>
      </c>
    </row>
    <row r="22" customFormat="false" ht="23.25" hidden="false" customHeight="true" outlineLevel="0" collapsed="false">
      <c r="A22" s="9" t="s">
        <v>338</v>
      </c>
      <c r="B22" s="11" t="n">
        <v>7256096</v>
      </c>
      <c r="C22" s="11" t="n">
        <v>7937093</v>
      </c>
      <c r="D22" s="17" t="n">
        <v>9.39</v>
      </c>
      <c r="E22" s="8" t="s">
        <v>571</v>
      </c>
      <c r="F22" s="8" t="s">
        <v>572</v>
      </c>
    </row>
    <row r="23" customFormat="false" ht="23.25" hidden="false" customHeight="true" outlineLevel="0" collapsed="false">
      <c r="A23" s="7" t="s">
        <v>344</v>
      </c>
      <c r="B23" s="10" t="n">
        <v>3998576</v>
      </c>
      <c r="C23" s="10" t="n">
        <v>4989548</v>
      </c>
      <c r="D23" s="16" t="n">
        <v>24.78</v>
      </c>
      <c r="E23" s="6" t="s">
        <v>571</v>
      </c>
      <c r="F23" s="6" t="s">
        <v>572</v>
      </c>
    </row>
    <row r="24" customFormat="false" ht="23.25" hidden="false" customHeight="true" outlineLevel="0" collapsed="false">
      <c r="A24" s="9" t="s">
        <v>350</v>
      </c>
      <c r="B24" s="11" t="n">
        <v>4323777</v>
      </c>
      <c r="C24" s="11" t="n">
        <v>6660238</v>
      </c>
      <c r="D24" s="17" t="n">
        <v>54.04</v>
      </c>
      <c r="E24" s="8" t="s">
        <v>571</v>
      </c>
      <c r="F24" s="8" t="s">
        <v>572</v>
      </c>
    </row>
    <row r="25" customFormat="false" ht="23.25" hidden="false" customHeight="true" outlineLevel="0" collapsed="false">
      <c r="A25" s="7" t="s">
        <v>356</v>
      </c>
      <c r="B25" s="10" t="n">
        <v>3568987</v>
      </c>
      <c r="C25" s="10" t="n">
        <v>5528560</v>
      </c>
      <c r="D25" s="16" t="n">
        <v>54.91</v>
      </c>
      <c r="E25" s="6" t="s">
        <v>571</v>
      </c>
      <c r="F25" s="6" t="s">
        <v>572</v>
      </c>
    </row>
    <row r="26" customFormat="false" ht="23.25" hidden="false" customHeight="true" outlineLevel="0" collapsed="false">
      <c r="A26" s="9" t="s">
        <v>361</v>
      </c>
      <c r="B26" s="11" t="n">
        <v>5897550</v>
      </c>
      <c r="C26" s="11" t="n">
        <v>10618488</v>
      </c>
      <c r="D26" s="17" t="n">
        <v>80.05</v>
      </c>
      <c r="E26" s="8" t="s">
        <v>571</v>
      </c>
      <c r="F26" s="8" t="s">
        <v>572</v>
      </c>
    </row>
    <row r="27" customFormat="false" ht="23.25" hidden="false" customHeight="true" outlineLevel="0" collapsed="false">
      <c r="A27" s="7" t="s">
        <v>366</v>
      </c>
      <c r="B27" s="10" t="n">
        <v>6489255</v>
      </c>
      <c r="C27" s="10" t="n">
        <v>8280374</v>
      </c>
      <c r="D27" s="16" t="n">
        <v>27.6</v>
      </c>
      <c r="E27" s="6" t="s">
        <v>571</v>
      </c>
      <c r="F27" s="6" t="s">
        <v>572</v>
      </c>
    </row>
    <row r="28" customFormat="false" ht="23.25" hidden="false" customHeight="true" outlineLevel="0" collapsed="false">
      <c r="A28" s="9" t="s">
        <v>371</v>
      </c>
      <c r="B28" s="11" t="n">
        <v>589723</v>
      </c>
      <c r="C28" s="11" t="n">
        <v>865783</v>
      </c>
      <c r="D28" s="17" t="n">
        <v>46.81</v>
      </c>
      <c r="E28" s="8" t="s">
        <v>571</v>
      </c>
      <c r="F28" s="8" t="s">
        <v>572</v>
      </c>
    </row>
    <row r="29" customFormat="false" ht="23.25" hidden="false" customHeight="true" outlineLevel="0" collapsed="false">
      <c r="A29" s="7" t="s">
        <v>376</v>
      </c>
      <c r="B29" s="10" t="n">
        <v>4127563</v>
      </c>
      <c r="C29" s="10" t="n">
        <v>6759878</v>
      </c>
      <c r="D29" s="16" t="n">
        <v>63.77</v>
      </c>
      <c r="E29" s="6" t="s">
        <v>571</v>
      </c>
      <c r="F29" s="6" t="s">
        <v>572</v>
      </c>
    </row>
    <row r="30" customFormat="false" ht="23.25" hidden="false" customHeight="true" outlineLevel="0" collapsed="false">
      <c r="A30" s="9" t="s">
        <v>383</v>
      </c>
      <c r="B30" s="11" t="n">
        <v>5079602</v>
      </c>
      <c r="C30" s="11" t="n">
        <v>5769840</v>
      </c>
      <c r="D30" s="17" t="n">
        <v>13.59</v>
      </c>
      <c r="E30" s="8" t="s">
        <v>571</v>
      </c>
      <c r="F30" s="8" t="s">
        <v>572</v>
      </c>
    </row>
    <row r="31" customFormat="false" ht="23.25" hidden="false" customHeight="true" outlineLevel="0" collapsed="false">
      <c r="A31" s="7" t="s">
        <v>388</v>
      </c>
      <c r="B31" s="10" t="n">
        <v>18466059</v>
      </c>
      <c r="C31" s="10" t="n">
        <v>21769731</v>
      </c>
      <c r="D31" s="16" t="n">
        <v>17.89</v>
      </c>
      <c r="E31" s="6" t="s">
        <v>571</v>
      </c>
      <c r="F31" s="6" t="s">
        <v>572</v>
      </c>
    </row>
    <row r="32" customFormat="false" ht="23.25" hidden="false" customHeight="true" outlineLevel="0" collapsed="false">
      <c r="A32" s="9" t="s">
        <v>393</v>
      </c>
      <c r="B32" s="11" t="n">
        <v>7166694</v>
      </c>
      <c r="C32" s="11" t="n">
        <v>6478574</v>
      </c>
      <c r="D32" s="17" t="n">
        <v>-9.6</v>
      </c>
      <c r="E32" s="8" t="s">
        <v>571</v>
      </c>
      <c r="F32" s="8" t="s">
        <v>572</v>
      </c>
    </row>
    <row r="33" customFormat="false" ht="23.25" hidden="false" customHeight="true" outlineLevel="0" collapsed="false">
      <c r="A33" s="7" t="s">
        <v>399</v>
      </c>
      <c r="B33" s="10" t="n">
        <v>1876179</v>
      </c>
      <c r="C33" s="10" t="n">
        <v>2587210</v>
      </c>
      <c r="D33" s="16" t="n">
        <v>37.9</v>
      </c>
      <c r="E33" s="6" t="s">
        <v>571</v>
      </c>
      <c r="F33" s="6" t="s">
        <v>572</v>
      </c>
    </row>
    <row r="34" customFormat="false" ht="23.25" hidden="false" customHeight="true" outlineLevel="0" collapsed="false">
      <c r="A34" s="9" t="s">
        <v>404</v>
      </c>
      <c r="B34" s="11" t="n">
        <v>2379995</v>
      </c>
      <c r="C34" s="11" t="n">
        <v>2357352</v>
      </c>
      <c r="D34" s="17" t="n">
        <v>-0.95</v>
      </c>
      <c r="E34" s="8" t="s">
        <v>571</v>
      </c>
      <c r="F34" s="8" t="s">
        <v>572</v>
      </c>
    </row>
    <row r="35" customFormat="false" ht="23.25" hidden="false" customHeight="true" outlineLevel="0" collapsed="false">
      <c r="A35" s="7" t="s">
        <v>409</v>
      </c>
      <c r="B35" s="10" t="n">
        <v>1072854</v>
      </c>
      <c r="C35" s="10" t="n">
        <v>1764497</v>
      </c>
      <c r="D35" s="16" t="n">
        <v>64.47</v>
      </c>
      <c r="E35" s="6" t="s">
        <v>571</v>
      </c>
      <c r="F35" s="6" t="s">
        <v>572</v>
      </c>
    </row>
    <row r="36" customFormat="false" ht="23.25" hidden="false" customHeight="true" outlineLevel="0" collapsed="false">
      <c r="A36" s="9" t="s">
        <v>414</v>
      </c>
      <c r="B36" s="11" t="n">
        <v>1186637</v>
      </c>
      <c r="C36" s="11" t="n">
        <v>1846808</v>
      </c>
      <c r="D36" s="17" t="n">
        <v>55.63</v>
      </c>
      <c r="E36" s="8" t="s">
        <v>571</v>
      </c>
      <c r="F36" s="8" t="s">
        <v>572</v>
      </c>
    </row>
    <row r="37" customFormat="false" ht="23.25" hidden="false" customHeight="true" outlineLevel="0" collapsed="false">
      <c r="A37" s="7" t="s">
        <v>425</v>
      </c>
      <c r="B37" s="10" t="n">
        <v>294629</v>
      </c>
      <c r="C37" s="10" t="n">
        <v>416369</v>
      </c>
      <c r="D37" s="16" t="n">
        <v>41.32</v>
      </c>
      <c r="E37" s="6" t="s">
        <v>571</v>
      </c>
      <c r="F37" s="6" t="s">
        <v>572</v>
      </c>
    </row>
    <row r="38" customFormat="false" ht="23.25" hidden="false" customHeight="true" outlineLevel="0" collapsed="false">
      <c r="A38" s="9" t="s">
        <v>431</v>
      </c>
      <c r="B38" s="11" t="n">
        <v>481325</v>
      </c>
      <c r="C38" s="11" t="n">
        <v>803717</v>
      </c>
      <c r="D38" s="17" t="n">
        <v>66.98</v>
      </c>
      <c r="E38" s="8" t="s">
        <v>571</v>
      </c>
      <c r="F38" s="8" t="s">
        <v>572</v>
      </c>
    </row>
    <row r="39" customFormat="false" ht="23.25" hidden="false" customHeight="true" outlineLevel="0" collapsed="false">
      <c r="A39" s="7" t="s">
        <v>420</v>
      </c>
      <c r="B39" s="10" t="n">
        <v>722723</v>
      </c>
      <c r="C39" s="10" t="n">
        <v>1207819</v>
      </c>
      <c r="D39" s="16" t="n">
        <v>67.12</v>
      </c>
      <c r="E39" s="6" t="s">
        <v>571</v>
      </c>
      <c r="F39" s="6" t="s">
        <v>572</v>
      </c>
    </row>
    <row r="40" customFormat="false" ht="23.25" hidden="false" customHeight="true" outlineLevel="0" collapsed="false">
      <c r="A40" s="9" t="s">
        <v>446</v>
      </c>
      <c r="B40" s="11" t="n">
        <v>130507</v>
      </c>
      <c r="C40" s="11" t="n">
        <v>157580</v>
      </c>
      <c r="D40" s="17" t="n">
        <v>20.74</v>
      </c>
      <c r="E40" s="8" t="s">
        <v>571</v>
      </c>
      <c r="F40" s="8" t="s">
        <v>572</v>
      </c>
    </row>
    <row r="41" customFormat="false" ht="23.25" hidden="false" customHeight="true" outlineLevel="0" collapsed="false">
      <c r="A41" s="7" t="s">
        <v>436</v>
      </c>
      <c r="B41" s="10" t="n">
        <v>306386</v>
      </c>
      <c r="C41" s="10" t="n">
        <v>552253</v>
      </c>
      <c r="D41" s="16" t="n">
        <v>80.25</v>
      </c>
      <c r="E41" s="6" t="s">
        <v>571</v>
      </c>
      <c r="F41" s="6" t="s">
        <v>572</v>
      </c>
    </row>
    <row r="42" customFormat="false" ht="23.25" hidden="false" customHeight="true" outlineLevel="0" collapsed="false">
      <c r="A42" s="9" t="s">
        <v>441</v>
      </c>
      <c r="B42" s="11" t="n">
        <v>207918</v>
      </c>
      <c r="C42" s="11" t="n">
        <v>457916</v>
      </c>
      <c r="D42" s="17" t="n">
        <v>120.24</v>
      </c>
      <c r="E42" s="8" t="s">
        <v>571</v>
      </c>
      <c r="F42" s="8" t="s">
        <v>572</v>
      </c>
    </row>
    <row r="43" customFormat="false" ht="39" hidden="false" customHeight="true" outlineLevel="0" collapsed="false">
      <c r="A43" s="18" t="s">
        <v>450</v>
      </c>
      <c r="B43" s="19" t="n">
        <v>521474385</v>
      </c>
      <c r="C43" s="19" t="n">
        <v>613784831</v>
      </c>
      <c r="D43" s="20" t="n">
        <v>17.7</v>
      </c>
      <c r="E43" s="21" t="s">
        <v>571</v>
      </c>
      <c r="F43" s="21" t="s">
        <v>572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0"/>
    <col collapsed="false" customWidth="true" hidden="false" outlineLevel="0" max="4" min="3" style="1" width="10"/>
    <col collapsed="false" customWidth="true" hidden="false" outlineLevel="0" max="5" min="5" style="1" width="16"/>
    <col collapsed="false" customWidth="true" hidden="false" outlineLevel="0" max="11" min="6" style="1" width="8"/>
    <col collapsed="false" customWidth="true" hidden="false" outlineLevel="0" max="12" min="12" style="1" width="20"/>
    <col collapsed="false" customWidth="true" hidden="false" outlineLevel="0" max="13" min="13" style="1" width="22"/>
    <col collapsed="false" customWidth="true" hidden="false" outlineLevel="0" max="14" min="14" style="1" width="50"/>
  </cols>
  <sheetData>
    <row r="1" customFormat="false" ht="24" hidden="false" customHeight="true" outlineLevel="0" collapsed="false">
      <c r="A1" s="2" t="s">
        <v>573</v>
      </c>
      <c r="B1" s="2"/>
      <c r="C1" s="2"/>
      <c r="D1" s="2"/>
      <c r="E1" s="2"/>
      <c r="F1" s="2"/>
      <c r="G1" s="2"/>
      <c r="H1" s="2"/>
      <c r="I1" s="2"/>
      <c r="J1" s="2"/>
      <c r="K1" s="2"/>
      <c r="L1" s="2"/>
    </row>
    <row r="2" customFormat="false" ht="84" hidden="false" customHeight="true" outlineLevel="0" collapsed="false">
      <c r="A2" s="4" t="s">
        <v>574</v>
      </c>
      <c r="B2" s="4"/>
      <c r="C2" s="4"/>
      <c r="D2" s="4"/>
      <c r="E2" s="4"/>
      <c r="F2" s="4"/>
      <c r="G2" s="4"/>
      <c r="H2" s="4"/>
      <c r="I2" s="4"/>
      <c r="J2" s="4"/>
      <c r="K2" s="4"/>
      <c r="L2" s="4"/>
    </row>
    <row r="4" customFormat="false" ht="27.75" hidden="false" customHeight="true" outlineLevel="0" collapsed="false">
      <c r="A4" s="5" t="s">
        <v>199</v>
      </c>
      <c r="B4" s="5" t="s">
        <v>188</v>
      </c>
      <c r="C4" s="5" t="s">
        <v>236</v>
      </c>
      <c r="D4" s="5" t="s">
        <v>237</v>
      </c>
      <c r="E4" s="5" t="s">
        <v>575</v>
      </c>
      <c r="F4" s="5" t="s">
        <v>576</v>
      </c>
      <c r="G4" s="5" t="s">
        <v>577</v>
      </c>
      <c r="H4" s="5" t="s">
        <v>578</v>
      </c>
      <c r="I4" s="5" t="s">
        <v>579</v>
      </c>
      <c r="J4" s="5" t="s">
        <v>580</v>
      </c>
      <c r="K4" s="5" t="s">
        <v>581</v>
      </c>
      <c r="L4" s="5" t="s">
        <v>582</v>
      </c>
      <c r="M4" s="5" t="s">
        <v>583</v>
      </c>
      <c r="N4" s="5" t="s">
        <v>584</v>
      </c>
    </row>
    <row r="5" customFormat="false" ht="23.25" hidden="false" customHeight="true" outlineLevel="0" collapsed="false">
      <c r="A5" s="7" t="s">
        <v>585</v>
      </c>
      <c r="B5" s="7" t="s">
        <v>253</v>
      </c>
      <c r="C5" s="7" t="n">
        <v>2.6845</v>
      </c>
      <c r="D5" s="7" t="n">
        <v>98.8756</v>
      </c>
      <c r="E5" s="7" t="s">
        <v>586</v>
      </c>
      <c r="F5" s="7" t="s">
        <v>587</v>
      </c>
      <c r="G5" s="7" t="s">
        <v>588</v>
      </c>
      <c r="H5" s="7" t="s">
        <v>587</v>
      </c>
      <c r="I5" s="7" t="s">
        <v>588</v>
      </c>
      <c r="J5" s="7" t="s">
        <v>588</v>
      </c>
      <c r="K5" s="7" t="s">
        <v>588</v>
      </c>
      <c r="L5" s="7" t="s">
        <v>248</v>
      </c>
      <c r="M5" s="7" t="s">
        <v>589</v>
      </c>
      <c r="N5" s="6" t="s">
        <v>590</v>
      </c>
    </row>
    <row r="6" customFormat="false" ht="34.5" hidden="false" customHeight="true" outlineLevel="0" collapsed="false">
      <c r="A6" s="9" t="s">
        <v>591</v>
      </c>
      <c r="B6" s="9" t="s">
        <v>253</v>
      </c>
      <c r="C6" s="9" t="n">
        <v>3.5556</v>
      </c>
      <c r="D6" s="9" t="n">
        <v>98.1281</v>
      </c>
      <c r="E6" s="9" t="s">
        <v>576</v>
      </c>
      <c r="F6" s="9" t="s">
        <v>587</v>
      </c>
      <c r="G6" s="9" t="s">
        <v>588</v>
      </c>
      <c r="H6" s="9" t="s">
        <v>588</v>
      </c>
      <c r="I6" s="9" t="s">
        <v>588</v>
      </c>
      <c r="J6" s="9" t="s">
        <v>587</v>
      </c>
      <c r="K6" s="9" t="s">
        <v>588</v>
      </c>
      <c r="L6" s="9" t="s">
        <v>248</v>
      </c>
      <c r="M6" s="9" t="s">
        <v>588</v>
      </c>
      <c r="N6" s="8" t="s">
        <v>592</v>
      </c>
    </row>
    <row r="7" customFormat="false" ht="34.5" hidden="false" customHeight="true" outlineLevel="0" collapsed="false">
      <c r="A7" s="7" t="s">
        <v>593</v>
      </c>
      <c r="B7" s="7" t="s">
        <v>244</v>
      </c>
      <c r="C7" s="7" t="n">
        <v>5.8667</v>
      </c>
      <c r="D7" s="7" t="n">
        <v>95.3167</v>
      </c>
      <c r="E7" s="7" t="s">
        <v>579</v>
      </c>
      <c r="F7" s="7" t="s">
        <v>588</v>
      </c>
      <c r="G7" s="7" t="s">
        <v>588</v>
      </c>
      <c r="H7" s="7" t="s">
        <v>588</v>
      </c>
      <c r="I7" s="7" t="s">
        <v>587</v>
      </c>
      <c r="J7" s="7" t="s">
        <v>588</v>
      </c>
      <c r="K7" s="7" t="s">
        <v>588</v>
      </c>
      <c r="L7" s="7" t="s">
        <v>248</v>
      </c>
      <c r="M7" s="7" t="s">
        <v>588</v>
      </c>
      <c r="N7" s="6" t="s">
        <v>592</v>
      </c>
    </row>
    <row r="8" customFormat="false" ht="34.5" hidden="false" customHeight="true" outlineLevel="0" collapsed="false">
      <c r="A8" s="9" t="s">
        <v>594</v>
      </c>
      <c r="B8" s="9" t="s">
        <v>259</v>
      </c>
      <c r="C8" s="9" t="n">
        <v>-2.1833</v>
      </c>
      <c r="D8" s="9" t="n">
        <v>99.6167</v>
      </c>
      <c r="E8" s="9" t="s">
        <v>595</v>
      </c>
      <c r="F8" s="9" t="s">
        <v>588</v>
      </c>
      <c r="G8" s="9" t="s">
        <v>588</v>
      </c>
      <c r="H8" s="9" t="s">
        <v>588</v>
      </c>
      <c r="I8" s="9" t="s">
        <v>587</v>
      </c>
      <c r="J8" s="9" t="s">
        <v>588</v>
      </c>
      <c r="K8" s="9" t="s">
        <v>588</v>
      </c>
      <c r="L8" s="9" t="s">
        <v>248</v>
      </c>
      <c r="M8" s="9" t="s">
        <v>588</v>
      </c>
      <c r="N8" s="8" t="s">
        <v>592</v>
      </c>
    </row>
    <row r="9" customFormat="false" ht="34.5" hidden="false" customHeight="true" outlineLevel="0" collapsed="false">
      <c r="A9" s="7" t="s">
        <v>596</v>
      </c>
      <c r="B9" s="7" t="s">
        <v>259</v>
      </c>
      <c r="C9" s="7" t="n">
        <v>-0.305</v>
      </c>
      <c r="D9" s="7" t="n">
        <v>100.3692</v>
      </c>
      <c r="E9" s="7" t="s">
        <v>597</v>
      </c>
      <c r="F9" s="7" t="s">
        <v>588</v>
      </c>
      <c r="G9" s="7" t="s">
        <v>587</v>
      </c>
      <c r="H9" s="7" t="s">
        <v>587</v>
      </c>
      <c r="I9" s="7" t="s">
        <v>588</v>
      </c>
      <c r="J9" s="7" t="s">
        <v>588</v>
      </c>
      <c r="K9" s="7" t="s">
        <v>588</v>
      </c>
      <c r="L9" s="7" t="s">
        <v>248</v>
      </c>
      <c r="M9" s="7" t="s">
        <v>588</v>
      </c>
      <c r="N9" s="6" t="s">
        <v>592</v>
      </c>
    </row>
    <row r="10" customFormat="false" ht="34.5" hidden="false" customHeight="true" outlineLevel="0" collapsed="false">
      <c r="A10" s="9" t="s">
        <v>598</v>
      </c>
      <c r="B10" s="9" t="s">
        <v>264</v>
      </c>
      <c r="C10" s="9" t="n">
        <v>0.8017</v>
      </c>
      <c r="D10" s="9" t="n">
        <v>102.0378</v>
      </c>
      <c r="E10" s="9" t="s">
        <v>578</v>
      </c>
      <c r="F10" s="9" t="s">
        <v>588</v>
      </c>
      <c r="G10" s="9" t="s">
        <v>588</v>
      </c>
      <c r="H10" s="9" t="s">
        <v>587</v>
      </c>
      <c r="I10" s="9" t="s">
        <v>588</v>
      </c>
      <c r="J10" s="9" t="s">
        <v>588</v>
      </c>
      <c r="K10" s="9" t="s">
        <v>588</v>
      </c>
      <c r="L10" s="9" t="s">
        <v>248</v>
      </c>
      <c r="M10" s="9" t="s">
        <v>588</v>
      </c>
      <c r="N10" s="8" t="s">
        <v>592</v>
      </c>
    </row>
    <row r="11" customFormat="false" ht="34.5" hidden="false" customHeight="true" outlineLevel="0" collapsed="false">
      <c r="A11" s="7" t="s">
        <v>599</v>
      </c>
      <c r="B11" s="7" t="s">
        <v>269</v>
      </c>
      <c r="C11" s="7" t="n">
        <v>1.14</v>
      </c>
      <c r="D11" s="7" t="n">
        <v>104.53</v>
      </c>
      <c r="E11" s="7" t="s">
        <v>600</v>
      </c>
      <c r="F11" s="7" t="s">
        <v>588</v>
      </c>
      <c r="G11" s="7" t="s">
        <v>588</v>
      </c>
      <c r="H11" s="7" t="s">
        <v>588</v>
      </c>
      <c r="I11" s="7" t="s">
        <v>587</v>
      </c>
      <c r="J11" s="7" t="s">
        <v>588</v>
      </c>
      <c r="K11" s="7" t="s">
        <v>588</v>
      </c>
      <c r="L11" s="7" t="s">
        <v>248</v>
      </c>
      <c r="M11" s="7" t="s">
        <v>588</v>
      </c>
      <c r="N11" s="6" t="s">
        <v>592</v>
      </c>
    </row>
    <row r="12" customFormat="false" ht="23.25" hidden="false" customHeight="true" outlineLevel="0" collapsed="false">
      <c r="A12" s="9" t="s">
        <v>601</v>
      </c>
      <c r="B12" s="9" t="s">
        <v>274</v>
      </c>
      <c r="C12" s="9" t="n">
        <v>-2.0833</v>
      </c>
      <c r="D12" s="9" t="n">
        <v>101.4167</v>
      </c>
      <c r="E12" s="9" t="s">
        <v>602</v>
      </c>
      <c r="F12" s="9" t="s">
        <v>587</v>
      </c>
      <c r="G12" s="9" t="s">
        <v>588</v>
      </c>
      <c r="H12" s="9" t="s">
        <v>588</v>
      </c>
      <c r="I12" s="9" t="s">
        <v>588</v>
      </c>
      <c r="J12" s="9" t="s">
        <v>587</v>
      </c>
      <c r="K12" s="9" t="s">
        <v>588</v>
      </c>
      <c r="L12" s="9" t="s">
        <v>603</v>
      </c>
      <c r="M12" s="9" t="s">
        <v>588</v>
      </c>
      <c r="N12" s="8" t="s">
        <v>604</v>
      </c>
    </row>
    <row r="13" customFormat="false" ht="34.5" hidden="false" customHeight="true" outlineLevel="0" collapsed="false">
      <c r="A13" s="7" t="s">
        <v>605</v>
      </c>
      <c r="B13" s="7" t="s">
        <v>279</v>
      </c>
      <c r="C13" s="7" t="n">
        <v>-2.9909</v>
      </c>
      <c r="D13" s="7" t="n">
        <v>104.7566</v>
      </c>
      <c r="E13" s="7" t="s">
        <v>597</v>
      </c>
      <c r="F13" s="7" t="s">
        <v>588</v>
      </c>
      <c r="G13" s="7" t="s">
        <v>587</v>
      </c>
      <c r="H13" s="7" t="s">
        <v>587</v>
      </c>
      <c r="I13" s="7" t="s">
        <v>588</v>
      </c>
      <c r="J13" s="7" t="s">
        <v>588</v>
      </c>
      <c r="K13" s="7" t="s">
        <v>588</v>
      </c>
      <c r="L13" s="7" t="s">
        <v>248</v>
      </c>
      <c r="M13" s="7" t="s">
        <v>588</v>
      </c>
      <c r="N13" s="6" t="s">
        <v>592</v>
      </c>
    </row>
    <row r="14" customFormat="false" ht="23.25" hidden="false" customHeight="true" outlineLevel="0" collapsed="false">
      <c r="A14" s="9" t="s">
        <v>606</v>
      </c>
      <c r="B14" s="9" t="s">
        <v>284</v>
      </c>
      <c r="C14" s="9" t="n">
        <v>-1.9333</v>
      </c>
      <c r="D14" s="9" t="n">
        <v>105.8167</v>
      </c>
      <c r="E14" s="9" t="s">
        <v>579</v>
      </c>
      <c r="F14" s="9" t="s">
        <v>588</v>
      </c>
      <c r="G14" s="9" t="s">
        <v>588</v>
      </c>
      <c r="H14" s="9" t="s">
        <v>588</v>
      </c>
      <c r="I14" s="9" t="s">
        <v>587</v>
      </c>
      <c r="J14" s="9" t="s">
        <v>588</v>
      </c>
      <c r="K14" s="9" t="s">
        <v>588</v>
      </c>
      <c r="L14" s="9" t="s">
        <v>248</v>
      </c>
      <c r="M14" s="9" t="s">
        <v>607</v>
      </c>
      <c r="N14" s="8" t="s">
        <v>590</v>
      </c>
    </row>
    <row r="15" customFormat="false" ht="34.5" hidden="false" customHeight="true" outlineLevel="0" collapsed="false">
      <c r="A15" s="7" t="s">
        <v>608</v>
      </c>
      <c r="B15" s="7" t="s">
        <v>279</v>
      </c>
      <c r="C15" s="7" t="n">
        <v>-4.85</v>
      </c>
      <c r="D15" s="7" t="n">
        <v>103.9167</v>
      </c>
      <c r="E15" s="7" t="s">
        <v>586</v>
      </c>
      <c r="F15" s="7" t="s">
        <v>587</v>
      </c>
      <c r="G15" s="7" t="s">
        <v>588</v>
      </c>
      <c r="H15" s="7" t="s">
        <v>588</v>
      </c>
      <c r="I15" s="7" t="s">
        <v>588</v>
      </c>
      <c r="J15" s="7" t="s">
        <v>588</v>
      </c>
      <c r="K15" s="7" t="s">
        <v>588</v>
      </c>
      <c r="L15" s="7" t="s">
        <v>248</v>
      </c>
      <c r="M15" s="7" t="s">
        <v>588</v>
      </c>
      <c r="N15" s="6" t="s">
        <v>592</v>
      </c>
    </row>
    <row r="16" customFormat="false" ht="34.5" hidden="false" customHeight="true" outlineLevel="0" collapsed="false">
      <c r="A16" s="9" t="s">
        <v>609</v>
      </c>
      <c r="B16" s="9" t="s">
        <v>295</v>
      </c>
      <c r="C16" s="9" t="n">
        <v>-4.95</v>
      </c>
      <c r="D16" s="9" t="n">
        <v>105.7833</v>
      </c>
      <c r="E16" s="9" t="s">
        <v>576</v>
      </c>
      <c r="F16" s="9" t="s">
        <v>587</v>
      </c>
      <c r="G16" s="9" t="s">
        <v>588</v>
      </c>
      <c r="H16" s="9" t="s">
        <v>588</v>
      </c>
      <c r="I16" s="9" t="s">
        <v>588</v>
      </c>
      <c r="J16" s="9" t="s">
        <v>588</v>
      </c>
      <c r="K16" s="9" t="s">
        <v>588</v>
      </c>
      <c r="L16" s="9" t="s">
        <v>248</v>
      </c>
      <c r="M16" s="9" t="s">
        <v>588</v>
      </c>
      <c r="N16" s="8" t="s">
        <v>592</v>
      </c>
    </row>
    <row r="17" customFormat="false" ht="34.5" hidden="false" customHeight="true" outlineLevel="0" collapsed="false">
      <c r="A17" s="7" t="s">
        <v>610</v>
      </c>
      <c r="B17" s="7" t="s">
        <v>300</v>
      </c>
      <c r="C17" s="7" t="n">
        <v>-6.1352</v>
      </c>
      <c r="D17" s="7" t="n">
        <v>106.8133</v>
      </c>
      <c r="E17" s="7" t="s">
        <v>597</v>
      </c>
      <c r="F17" s="7" t="s">
        <v>588</v>
      </c>
      <c r="G17" s="7" t="s">
        <v>587</v>
      </c>
      <c r="H17" s="7" t="s">
        <v>587</v>
      </c>
      <c r="I17" s="7" t="s">
        <v>588</v>
      </c>
      <c r="J17" s="7" t="s">
        <v>588</v>
      </c>
      <c r="K17" s="7" t="s">
        <v>588</v>
      </c>
      <c r="L17" s="7" t="s">
        <v>248</v>
      </c>
      <c r="M17" s="7" t="s">
        <v>588</v>
      </c>
      <c r="N17" s="6" t="s">
        <v>592</v>
      </c>
    </row>
    <row r="18" customFormat="false" ht="34.5" hidden="false" customHeight="true" outlineLevel="0" collapsed="false">
      <c r="A18" s="9" t="s">
        <v>611</v>
      </c>
      <c r="B18" s="9" t="s">
        <v>300</v>
      </c>
      <c r="C18" s="9" t="n">
        <v>-5.6167</v>
      </c>
      <c r="D18" s="9" t="n">
        <v>106.6167</v>
      </c>
      <c r="E18" s="9" t="s">
        <v>579</v>
      </c>
      <c r="F18" s="9" t="s">
        <v>588</v>
      </c>
      <c r="G18" s="9" t="s">
        <v>588</v>
      </c>
      <c r="H18" s="9" t="s">
        <v>588</v>
      </c>
      <c r="I18" s="9" t="s">
        <v>587</v>
      </c>
      <c r="J18" s="9" t="s">
        <v>588</v>
      </c>
      <c r="K18" s="9" t="s">
        <v>588</v>
      </c>
      <c r="L18" s="9" t="s">
        <v>248</v>
      </c>
      <c r="M18" s="9" t="s">
        <v>588</v>
      </c>
      <c r="N18" s="8" t="s">
        <v>592</v>
      </c>
    </row>
    <row r="19" customFormat="false" ht="34.5" hidden="false" customHeight="true" outlineLevel="0" collapsed="false">
      <c r="A19" s="7" t="s">
        <v>612</v>
      </c>
      <c r="B19" s="7" t="s">
        <v>306</v>
      </c>
      <c r="C19" s="7" t="n">
        <v>-7.1661</v>
      </c>
      <c r="D19" s="7" t="n">
        <v>107.4025</v>
      </c>
      <c r="E19" s="7" t="s">
        <v>576</v>
      </c>
      <c r="F19" s="7" t="s">
        <v>587</v>
      </c>
      <c r="G19" s="7" t="s">
        <v>588</v>
      </c>
      <c r="H19" s="7" t="s">
        <v>588</v>
      </c>
      <c r="I19" s="7" t="s">
        <v>588</v>
      </c>
      <c r="J19" s="7" t="s">
        <v>587</v>
      </c>
      <c r="K19" s="7" t="s">
        <v>588</v>
      </c>
      <c r="L19" s="7" t="s">
        <v>248</v>
      </c>
      <c r="M19" s="7" t="s">
        <v>588</v>
      </c>
      <c r="N19" s="6" t="s">
        <v>592</v>
      </c>
    </row>
    <row r="20" customFormat="false" ht="34.5" hidden="false" customHeight="true" outlineLevel="0" collapsed="false">
      <c r="A20" s="9" t="s">
        <v>613</v>
      </c>
      <c r="B20" s="9" t="s">
        <v>306</v>
      </c>
      <c r="C20" s="9" t="n">
        <v>-6.7597</v>
      </c>
      <c r="D20" s="9" t="n">
        <v>107.6098</v>
      </c>
      <c r="E20" s="9" t="s">
        <v>602</v>
      </c>
      <c r="F20" s="9" t="s">
        <v>587</v>
      </c>
      <c r="G20" s="9" t="s">
        <v>588</v>
      </c>
      <c r="H20" s="9" t="s">
        <v>588</v>
      </c>
      <c r="I20" s="9" t="s">
        <v>588</v>
      </c>
      <c r="J20" s="9" t="s">
        <v>587</v>
      </c>
      <c r="K20" s="9" t="s">
        <v>588</v>
      </c>
      <c r="L20" s="9" t="s">
        <v>248</v>
      </c>
      <c r="M20" s="9" t="s">
        <v>588</v>
      </c>
      <c r="N20" s="8" t="s">
        <v>592</v>
      </c>
    </row>
    <row r="21" customFormat="false" ht="34.5" hidden="false" customHeight="true" outlineLevel="0" collapsed="false">
      <c r="A21" s="7" t="s">
        <v>614</v>
      </c>
      <c r="B21" s="7" t="s">
        <v>306</v>
      </c>
      <c r="C21" s="7" t="n">
        <v>-6.9</v>
      </c>
      <c r="D21" s="7" t="n">
        <v>107.6</v>
      </c>
      <c r="E21" s="7" t="s">
        <v>576</v>
      </c>
      <c r="F21" s="7" t="s">
        <v>587</v>
      </c>
      <c r="G21" s="7" t="s">
        <v>588</v>
      </c>
      <c r="H21" s="7" t="s">
        <v>588</v>
      </c>
      <c r="I21" s="7" t="s">
        <v>588</v>
      </c>
      <c r="J21" s="7" t="s">
        <v>588</v>
      </c>
      <c r="K21" s="7" t="s">
        <v>588</v>
      </c>
      <c r="L21" s="7" t="s">
        <v>248</v>
      </c>
      <c r="M21" s="7" t="s">
        <v>588</v>
      </c>
      <c r="N21" s="6" t="s">
        <v>592</v>
      </c>
    </row>
    <row r="22" customFormat="false" ht="23.25" hidden="false" customHeight="true" outlineLevel="0" collapsed="false">
      <c r="A22" s="9" t="s">
        <v>615</v>
      </c>
      <c r="B22" s="9" t="s">
        <v>311</v>
      </c>
      <c r="C22" s="9" t="n">
        <v>-7.6079</v>
      </c>
      <c r="D22" s="9" t="n">
        <v>110.2038</v>
      </c>
      <c r="E22" s="9" t="s">
        <v>616</v>
      </c>
      <c r="F22" s="9" t="s">
        <v>588</v>
      </c>
      <c r="G22" s="9" t="s">
        <v>588</v>
      </c>
      <c r="H22" s="9" t="s">
        <v>587</v>
      </c>
      <c r="I22" s="9" t="s">
        <v>588</v>
      </c>
      <c r="J22" s="9" t="s">
        <v>588</v>
      </c>
      <c r="K22" s="9" t="s">
        <v>587</v>
      </c>
      <c r="L22" s="9" t="s">
        <v>603</v>
      </c>
      <c r="M22" s="9" t="s">
        <v>589</v>
      </c>
      <c r="N22" s="8" t="s">
        <v>604</v>
      </c>
    </row>
    <row r="23" customFormat="false" ht="34.5" hidden="false" customHeight="true" outlineLevel="0" collapsed="false">
      <c r="A23" s="7" t="s">
        <v>617</v>
      </c>
      <c r="B23" s="7" t="s">
        <v>311</v>
      </c>
      <c r="C23" s="7" t="n">
        <v>-6.9689</v>
      </c>
      <c r="D23" s="7" t="n">
        <v>110.4283</v>
      </c>
      <c r="E23" s="7" t="s">
        <v>597</v>
      </c>
      <c r="F23" s="7" t="s">
        <v>588</v>
      </c>
      <c r="G23" s="7" t="s">
        <v>587</v>
      </c>
      <c r="H23" s="7" t="s">
        <v>587</v>
      </c>
      <c r="I23" s="7" t="s">
        <v>588</v>
      </c>
      <c r="J23" s="7" t="s">
        <v>588</v>
      </c>
      <c r="K23" s="7" t="s">
        <v>588</v>
      </c>
      <c r="L23" s="7" t="s">
        <v>248</v>
      </c>
      <c r="M23" s="7" t="s">
        <v>588</v>
      </c>
      <c r="N23" s="6" t="s">
        <v>592</v>
      </c>
    </row>
    <row r="24" customFormat="false" ht="34.5" hidden="false" customHeight="true" outlineLevel="0" collapsed="false">
      <c r="A24" s="9" t="s">
        <v>618</v>
      </c>
      <c r="B24" s="9" t="s">
        <v>311</v>
      </c>
      <c r="C24" s="9" t="n">
        <v>-7.201</v>
      </c>
      <c r="D24" s="9" t="n">
        <v>109.9174</v>
      </c>
      <c r="E24" s="9" t="s">
        <v>602</v>
      </c>
      <c r="F24" s="9" t="s">
        <v>587</v>
      </c>
      <c r="G24" s="9" t="s">
        <v>588</v>
      </c>
      <c r="H24" s="9" t="s">
        <v>588</v>
      </c>
      <c r="I24" s="9" t="s">
        <v>588</v>
      </c>
      <c r="J24" s="9" t="s">
        <v>587</v>
      </c>
      <c r="K24" s="9" t="s">
        <v>588</v>
      </c>
      <c r="L24" s="9" t="s">
        <v>248</v>
      </c>
      <c r="M24" s="9" t="s">
        <v>588</v>
      </c>
      <c r="N24" s="8" t="s">
        <v>592</v>
      </c>
    </row>
    <row r="25" customFormat="false" ht="34.5" hidden="false" customHeight="true" outlineLevel="0" collapsed="false">
      <c r="A25" s="7" t="s">
        <v>619</v>
      </c>
      <c r="B25" s="7" t="s">
        <v>317</v>
      </c>
      <c r="C25" s="7" t="n">
        <v>-7.7925</v>
      </c>
      <c r="D25" s="7" t="n">
        <v>110.3654</v>
      </c>
      <c r="E25" s="7" t="s">
        <v>597</v>
      </c>
      <c r="F25" s="7" t="s">
        <v>588</v>
      </c>
      <c r="G25" s="7" t="s">
        <v>587</v>
      </c>
      <c r="H25" s="7" t="s">
        <v>587</v>
      </c>
      <c r="I25" s="7" t="s">
        <v>588</v>
      </c>
      <c r="J25" s="7" t="s">
        <v>588</v>
      </c>
      <c r="K25" s="7" t="s">
        <v>588</v>
      </c>
      <c r="L25" s="7" t="s">
        <v>248</v>
      </c>
      <c r="M25" s="7" t="s">
        <v>588</v>
      </c>
      <c r="N25" s="6" t="s">
        <v>592</v>
      </c>
    </row>
    <row r="26" customFormat="false" ht="23.25" hidden="false" customHeight="true" outlineLevel="0" collapsed="false">
      <c r="A26" s="9" t="s">
        <v>620</v>
      </c>
      <c r="B26" s="9" t="s">
        <v>317</v>
      </c>
      <c r="C26" s="9" t="n">
        <v>-7.752</v>
      </c>
      <c r="D26" s="9" t="n">
        <v>110.4915</v>
      </c>
      <c r="E26" s="9" t="s">
        <v>616</v>
      </c>
      <c r="F26" s="9" t="s">
        <v>588</v>
      </c>
      <c r="G26" s="9" t="s">
        <v>588</v>
      </c>
      <c r="H26" s="9" t="s">
        <v>587</v>
      </c>
      <c r="I26" s="9" t="s">
        <v>588</v>
      </c>
      <c r="J26" s="9" t="s">
        <v>588</v>
      </c>
      <c r="K26" s="9" t="s">
        <v>587</v>
      </c>
      <c r="L26" s="9" t="s">
        <v>603</v>
      </c>
      <c r="M26" s="9" t="s">
        <v>588</v>
      </c>
      <c r="N26" s="8" t="s">
        <v>604</v>
      </c>
    </row>
    <row r="27" customFormat="false" ht="34.5" hidden="false" customHeight="true" outlineLevel="0" collapsed="false">
      <c r="A27" s="7" t="s">
        <v>621</v>
      </c>
      <c r="B27" s="7" t="s">
        <v>317</v>
      </c>
      <c r="C27" s="7" t="n">
        <v>-8.0253</v>
      </c>
      <c r="D27" s="7" t="n">
        <v>110.3319</v>
      </c>
      <c r="E27" s="7" t="s">
        <v>622</v>
      </c>
      <c r="F27" s="7" t="s">
        <v>588</v>
      </c>
      <c r="G27" s="7" t="s">
        <v>588</v>
      </c>
      <c r="H27" s="7" t="s">
        <v>588</v>
      </c>
      <c r="I27" s="7" t="s">
        <v>587</v>
      </c>
      <c r="J27" s="7" t="s">
        <v>588</v>
      </c>
      <c r="K27" s="7" t="s">
        <v>588</v>
      </c>
      <c r="L27" s="7" t="s">
        <v>248</v>
      </c>
      <c r="M27" s="7" t="s">
        <v>588</v>
      </c>
      <c r="N27" s="6" t="s">
        <v>592</v>
      </c>
    </row>
    <row r="28" customFormat="false" ht="23.25" hidden="false" customHeight="true" outlineLevel="0" collapsed="false">
      <c r="A28" s="9" t="s">
        <v>623</v>
      </c>
      <c r="B28" s="9" t="s">
        <v>322</v>
      </c>
      <c r="C28" s="9" t="n">
        <v>-7.9425</v>
      </c>
      <c r="D28" s="9" t="n">
        <v>112.953</v>
      </c>
      <c r="E28" s="9" t="s">
        <v>602</v>
      </c>
      <c r="F28" s="9" t="s">
        <v>587</v>
      </c>
      <c r="G28" s="9" t="s">
        <v>588</v>
      </c>
      <c r="H28" s="9" t="s">
        <v>588</v>
      </c>
      <c r="I28" s="9" t="s">
        <v>588</v>
      </c>
      <c r="J28" s="9" t="s">
        <v>587</v>
      </c>
      <c r="K28" s="9" t="s">
        <v>588</v>
      </c>
      <c r="L28" s="9" t="s">
        <v>248</v>
      </c>
      <c r="M28" s="9" t="s">
        <v>607</v>
      </c>
      <c r="N28" s="8" t="s">
        <v>590</v>
      </c>
    </row>
    <row r="29" customFormat="false" ht="34.5" hidden="false" customHeight="true" outlineLevel="0" collapsed="false">
      <c r="A29" s="7" t="s">
        <v>624</v>
      </c>
      <c r="B29" s="7" t="s">
        <v>322</v>
      </c>
      <c r="C29" s="7" t="n">
        <v>-8.0581</v>
      </c>
      <c r="D29" s="7" t="n">
        <v>114.2422</v>
      </c>
      <c r="E29" s="7" t="s">
        <v>602</v>
      </c>
      <c r="F29" s="7" t="s">
        <v>587</v>
      </c>
      <c r="G29" s="7" t="s">
        <v>588</v>
      </c>
      <c r="H29" s="7" t="s">
        <v>588</v>
      </c>
      <c r="I29" s="7" t="s">
        <v>588</v>
      </c>
      <c r="J29" s="7" t="s">
        <v>587</v>
      </c>
      <c r="K29" s="7" t="s">
        <v>588</v>
      </c>
      <c r="L29" s="7" t="s">
        <v>248</v>
      </c>
      <c r="M29" s="7" t="s">
        <v>588</v>
      </c>
      <c r="N29" s="6" t="s">
        <v>592</v>
      </c>
    </row>
    <row r="30" customFormat="false" ht="34.5" hidden="false" customHeight="true" outlineLevel="0" collapsed="false">
      <c r="A30" s="9" t="s">
        <v>625</v>
      </c>
      <c r="B30" s="9" t="s">
        <v>322</v>
      </c>
      <c r="C30" s="9" t="n">
        <v>-7.2575</v>
      </c>
      <c r="D30" s="9" t="n">
        <v>112.7521</v>
      </c>
      <c r="E30" s="9" t="s">
        <v>577</v>
      </c>
      <c r="F30" s="9" t="s">
        <v>588</v>
      </c>
      <c r="G30" s="9" t="s">
        <v>587</v>
      </c>
      <c r="H30" s="9" t="s">
        <v>588</v>
      </c>
      <c r="I30" s="9" t="s">
        <v>588</v>
      </c>
      <c r="J30" s="9" t="s">
        <v>588</v>
      </c>
      <c r="K30" s="9" t="s">
        <v>588</v>
      </c>
      <c r="L30" s="9" t="s">
        <v>248</v>
      </c>
      <c r="M30" s="9" t="s">
        <v>588</v>
      </c>
      <c r="N30" s="8" t="s">
        <v>592</v>
      </c>
    </row>
    <row r="31" customFormat="false" ht="34.5" hidden="false" customHeight="true" outlineLevel="0" collapsed="false">
      <c r="A31" s="7" t="s">
        <v>626</v>
      </c>
      <c r="B31" s="7" t="s">
        <v>328</v>
      </c>
      <c r="C31" s="7" t="n">
        <v>-6.0333</v>
      </c>
      <c r="D31" s="7" t="n">
        <v>105.9167</v>
      </c>
      <c r="E31" s="7" t="s">
        <v>622</v>
      </c>
      <c r="F31" s="7" t="s">
        <v>588</v>
      </c>
      <c r="G31" s="7" t="s">
        <v>588</v>
      </c>
      <c r="H31" s="7" t="s">
        <v>588</v>
      </c>
      <c r="I31" s="7" t="s">
        <v>587</v>
      </c>
      <c r="J31" s="7" t="s">
        <v>588</v>
      </c>
      <c r="K31" s="7" t="s">
        <v>588</v>
      </c>
      <c r="L31" s="7" t="s">
        <v>248</v>
      </c>
      <c r="M31" s="7" t="s">
        <v>588</v>
      </c>
      <c r="N31" s="6" t="s">
        <v>592</v>
      </c>
    </row>
    <row r="32" customFormat="false" ht="23.25" hidden="false" customHeight="true" outlineLevel="0" collapsed="false">
      <c r="A32" s="9" t="s">
        <v>627</v>
      </c>
      <c r="B32" s="9" t="s">
        <v>328</v>
      </c>
      <c r="C32" s="9" t="n">
        <v>-6.75</v>
      </c>
      <c r="D32" s="9" t="n">
        <v>105.3167</v>
      </c>
      <c r="E32" s="9" t="s">
        <v>628</v>
      </c>
      <c r="F32" s="9" t="s">
        <v>587</v>
      </c>
      <c r="G32" s="9" t="s">
        <v>588</v>
      </c>
      <c r="H32" s="9" t="s">
        <v>588</v>
      </c>
      <c r="I32" s="9" t="s">
        <v>587</v>
      </c>
      <c r="J32" s="9" t="s">
        <v>588</v>
      </c>
      <c r="K32" s="9" t="s">
        <v>588</v>
      </c>
      <c r="L32" s="9" t="s">
        <v>603</v>
      </c>
      <c r="M32" s="9" t="s">
        <v>588</v>
      </c>
      <c r="N32" s="8" t="s">
        <v>604</v>
      </c>
    </row>
    <row r="33" customFormat="false" ht="34.5" hidden="false" customHeight="true" outlineLevel="0" collapsed="false">
      <c r="A33" s="7" t="s">
        <v>629</v>
      </c>
      <c r="B33" s="7" t="s">
        <v>332</v>
      </c>
      <c r="C33" s="7" t="n">
        <v>-8.5069</v>
      </c>
      <c r="D33" s="7" t="n">
        <v>115.2624</v>
      </c>
      <c r="E33" s="7" t="s">
        <v>630</v>
      </c>
      <c r="F33" s="7" t="s">
        <v>587</v>
      </c>
      <c r="G33" s="7" t="s">
        <v>588</v>
      </c>
      <c r="H33" s="7" t="s">
        <v>587</v>
      </c>
      <c r="I33" s="7" t="s">
        <v>588</v>
      </c>
      <c r="J33" s="7" t="s">
        <v>588</v>
      </c>
      <c r="K33" s="7" t="s">
        <v>588</v>
      </c>
      <c r="L33" s="7" t="s">
        <v>248</v>
      </c>
      <c r="M33" s="7" t="s">
        <v>588</v>
      </c>
      <c r="N33" s="6" t="s">
        <v>592</v>
      </c>
    </row>
    <row r="34" customFormat="false" ht="34.5" hidden="false" customHeight="true" outlineLevel="0" collapsed="false">
      <c r="A34" s="9" t="s">
        <v>631</v>
      </c>
      <c r="B34" s="9" t="s">
        <v>332</v>
      </c>
      <c r="C34" s="9" t="n">
        <v>-8.7183</v>
      </c>
      <c r="D34" s="9" t="n">
        <v>115.1686</v>
      </c>
      <c r="E34" s="9" t="s">
        <v>632</v>
      </c>
      <c r="F34" s="9" t="s">
        <v>588</v>
      </c>
      <c r="G34" s="9" t="s">
        <v>587</v>
      </c>
      <c r="H34" s="9" t="s">
        <v>588</v>
      </c>
      <c r="I34" s="9" t="s">
        <v>587</v>
      </c>
      <c r="J34" s="9" t="s">
        <v>588</v>
      </c>
      <c r="K34" s="9" t="s">
        <v>588</v>
      </c>
      <c r="L34" s="9" t="s">
        <v>248</v>
      </c>
      <c r="M34" s="9" t="s">
        <v>588</v>
      </c>
      <c r="N34" s="8" t="s">
        <v>592</v>
      </c>
    </row>
    <row r="35" customFormat="false" ht="34.5" hidden="false" customHeight="true" outlineLevel="0" collapsed="false">
      <c r="A35" s="7" t="s">
        <v>633</v>
      </c>
      <c r="B35" s="7" t="s">
        <v>332</v>
      </c>
      <c r="C35" s="7" t="n">
        <v>-8.3742</v>
      </c>
      <c r="D35" s="7" t="n">
        <v>115.4514</v>
      </c>
      <c r="E35" s="7" t="s">
        <v>634</v>
      </c>
      <c r="F35" s="7" t="s">
        <v>588</v>
      </c>
      <c r="G35" s="7" t="s">
        <v>588</v>
      </c>
      <c r="H35" s="7" t="s">
        <v>587</v>
      </c>
      <c r="I35" s="7" t="s">
        <v>588</v>
      </c>
      <c r="J35" s="7" t="s">
        <v>588</v>
      </c>
      <c r="K35" s="7" t="s">
        <v>587</v>
      </c>
      <c r="L35" s="7" t="s">
        <v>248</v>
      </c>
      <c r="M35" s="7" t="s">
        <v>588</v>
      </c>
      <c r="N35" s="6" t="s">
        <v>592</v>
      </c>
    </row>
    <row r="36" customFormat="false" ht="34.5" hidden="false" customHeight="true" outlineLevel="0" collapsed="false">
      <c r="A36" s="9" t="s">
        <v>635</v>
      </c>
      <c r="B36" s="9" t="s">
        <v>332</v>
      </c>
      <c r="C36" s="9" t="n">
        <v>-8.7275</v>
      </c>
      <c r="D36" s="9" t="n">
        <v>115.5444</v>
      </c>
      <c r="E36" s="9" t="s">
        <v>579</v>
      </c>
      <c r="F36" s="9" t="s">
        <v>588</v>
      </c>
      <c r="G36" s="9" t="s">
        <v>588</v>
      </c>
      <c r="H36" s="9" t="s">
        <v>588</v>
      </c>
      <c r="I36" s="9" t="s">
        <v>587</v>
      </c>
      <c r="J36" s="9" t="s">
        <v>588</v>
      </c>
      <c r="K36" s="9" t="s">
        <v>588</v>
      </c>
      <c r="L36" s="9" t="s">
        <v>248</v>
      </c>
      <c r="M36" s="9" t="s">
        <v>588</v>
      </c>
      <c r="N36" s="8" t="s">
        <v>592</v>
      </c>
    </row>
    <row r="37" customFormat="false" ht="34.5" hidden="false" customHeight="true" outlineLevel="0" collapsed="false">
      <c r="A37" s="7" t="s">
        <v>636</v>
      </c>
      <c r="B37" s="7" t="s">
        <v>332</v>
      </c>
      <c r="C37" s="7" t="n">
        <v>-8.2422</v>
      </c>
      <c r="D37" s="7" t="n">
        <v>115.3753</v>
      </c>
      <c r="E37" s="7" t="s">
        <v>602</v>
      </c>
      <c r="F37" s="7" t="s">
        <v>587</v>
      </c>
      <c r="G37" s="7" t="s">
        <v>588</v>
      </c>
      <c r="H37" s="7" t="s">
        <v>588</v>
      </c>
      <c r="I37" s="7" t="s">
        <v>588</v>
      </c>
      <c r="J37" s="7" t="s">
        <v>587</v>
      </c>
      <c r="K37" s="7" t="s">
        <v>588</v>
      </c>
      <c r="L37" s="7" t="s">
        <v>248</v>
      </c>
      <c r="M37" s="7" t="s">
        <v>588</v>
      </c>
      <c r="N37" s="6" t="s">
        <v>592</v>
      </c>
    </row>
    <row r="38" customFormat="false" ht="23.25" hidden="false" customHeight="true" outlineLevel="0" collapsed="false">
      <c r="A38" s="9" t="s">
        <v>637</v>
      </c>
      <c r="B38" s="9" t="s">
        <v>338</v>
      </c>
      <c r="C38" s="9" t="n">
        <v>-8.8961</v>
      </c>
      <c r="D38" s="9" t="n">
        <v>116.2833</v>
      </c>
      <c r="E38" s="9" t="s">
        <v>579</v>
      </c>
      <c r="F38" s="9" t="s">
        <v>588</v>
      </c>
      <c r="G38" s="9" t="s">
        <v>588</v>
      </c>
      <c r="H38" s="9" t="s">
        <v>588</v>
      </c>
      <c r="I38" s="9" t="s">
        <v>587</v>
      </c>
      <c r="J38" s="9" t="s">
        <v>588</v>
      </c>
      <c r="K38" s="9" t="s">
        <v>588</v>
      </c>
      <c r="L38" s="9" t="s">
        <v>248</v>
      </c>
      <c r="M38" s="9" t="s">
        <v>589</v>
      </c>
      <c r="N38" s="8" t="s">
        <v>590</v>
      </c>
    </row>
    <row r="39" customFormat="false" ht="34.5" hidden="false" customHeight="true" outlineLevel="0" collapsed="false">
      <c r="A39" s="7" t="s">
        <v>638</v>
      </c>
      <c r="B39" s="7" t="s">
        <v>338</v>
      </c>
      <c r="C39" s="7" t="n">
        <v>-8.3499</v>
      </c>
      <c r="D39" s="7" t="n">
        <v>116.0416</v>
      </c>
      <c r="E39" s="7" t="s">
        <v>579</v>
      </c>
      <c r="F39" s="7" t="s">
        <v>588</v>
      </c>
      <c r="G39" s="7" t="s">
        <v>588</v>
      </c>
      <c r="H39" s="7" t="s">
        <v>588</v>
      </c>
      <c r="I39" s="7" t="s">
        <v>587</v>
      </c>
      <c r="J39" s="7" t="s">
        <v>588</v>
      </c>
      <c r="K39" s="7" t="s">
        <v>588</v>
      </c>
      <c r="L39" s="7" t="s">
        <v>248</v>
      </c>
      <c r="M39" s="7" t="s">
        <v>588</v>
      </c>
      <c r="N39" s="6" t="s">
        <v>592</v>
      </c>
    </row>
    <row r="40" customFormat="false" ht="34.5" hidden="false" customHeight="true" outlineLevel="0" collapsed="false">
      <c r="A40" s="9" t="s">
        <v>639</v>
      </c>
      <c r="B40" s="9" t="s">
        <v>338</v>
      </c>
      <c r="C40" s="9" t="n">
        <v>-8.411</v>
      </c>
      <c r="D40" s="9" t="n">
        <v>116.4573</v>
      </c>
      <c r="E40" s="9" t="s">
        <v>602</v>
      </c>
      <c r="F40" s="9" t="s">
        <v>587</v>
      </c>
      <c r="G40" s="9" t="s">
        <v>588</v>
      </c>
      <c r="H40" s="9" t="s">
        <v>588</v>
      </c>
      <c r="I40" s="9" t="s">
        <v>588</v>
      </c>
      <c r="J40" s="9" t="s">
        <v>587</v>
      </c>
      <c r="K40" s="9" t="s">
        <v>588</v>
      </c>
      <c r="L40" s="9" t="s">
        <v>248</v>
      </c>
      <c r="M40" s="9" t="s">
        <v>588</v>
      </c>
      <c r="N40" s="8" t="s">
        <v>592</v>
      </c>
    </row>
    <row r="41" customFormat="false" ht="23.25" hidden="false" customHeight="true" outlineLevel="0" collapsed="false">
      <c r="A41" s="7" t="s">
        <v>640</v>
      </c>
      <c r="B41" s="7" t="s">
        <v>344</v>
      </c>
      <c r="C41" s="7" t="n">
        <v>-8.5455</v>
      </c>
      <c r="D41" s="7" t="n">
        <v>119.4894</v>
      </c>
      <c r="E41" s="7" t="s">
        <v>641</v>
      </c>
      <c r="F41" s="7" t="s">
        <v>587</v>
      </c>
      <c r="G41" s="7" t="s">
        <v>588</v>
      </c>
      <c r="H41" s="7" t="s">
        <v>588</v>
      </c>
      <c r="I41" s="7" t="s">
        <v>587</v>
      </c>
      <c r="J41" s="7" t="s">
        <v>588</v>
      </c>
      <c r="K41" s="7" t="s">
        <v>588</v>
      </c>
      <c r="L41" s="7" t="s">
        <v>603</v>
      </c>
      <c r="M41" s="7" t="s">
        <v>589</v>
      </c>
      <c r="N41" s="6" t="s">
        <v>604</v>
      </c>
    </row>
    <row r="42" customFormat="false" ht="34.5" hidden="false" customHeight="true" outlineLevel="0" collapsed="false">
      <c r="A42" s="9" t="s">
        <v>642</v>
      </c>
      <c r="B42" s="9" t="s">
        <v>344</v>
      </c>
      <c r="C42" s="9" t="n">
        <v>-8.7659</v>
      </c>
      <c r="D42" s="9" t="n">
        <v>121.8168</v>
      </c>
      <c r="E42" s="9" t="s">
        <v>586</v>
      </c>
      <c r="F42" s="9" t="s">
        <v>587</v>
      </c>
      <c r="G42" s="9" t="s">
        <v>588</v>
      </c>
      <c r="H42" s="9" t="s">
        <v>588</v>
      </c>
      <c r="I42" s="9" t="s">
        <v>588</v>
      </c>
      <c r="J42" s="9" t="s">
        <v>588</v>
      </c>
      <c r="K42" s="9" t="s">
        <v>588</v>
      </c>
      <c r="L42" s="9" t="s">
        <v>248</v>
      </c>
      <c r="M42" s="9" t="s">
        <v>588</v>
      </c>
      <c r="N42" s="8" t="s">
        <v>592</v>
      </c>
    </row>
    <row r="43" customFormat="false" ht="34.5" hidden="false" customHeight="true" outlineLevel="0" collapsed="false">
      <c r="A43" s="7" t="s">
        <v>643</v>
      </c>
      <c r="B43" s="7" t="s">
        <v>344</v>
      </c>
      <c r="C43" s="7" t="n">
        <v>-8.75</v>
      </c>
      <c r="D43" s="7" t="n">
        <v>120.2333</v>
      </c>
      <c r="E43" s="7" t="s">
        <v>578</v>
      </c>
      <c r="F43" s="7" t="s">
        <v>588</v>
      </c>
      <c r="G43" s="7" t="s">
        <v>588</v>
      </c>
      <c r="H43" s="7" t="s">
        <v>587</v>
      </c>
      <c r="I43" s="7" t="s">
        <v>588</v>
      </c>
      <c r="J43" s="7" t="s">
        <v>587</v>
      </c>
      <c r="K43" s="7" t="s">
        <v>588</v>
      </c>
      <c r="L43" s="7" t="s">
        <v>248</v>
      </c>
      <c r="M43" s="7" t="s">
        <v>588</v>
      </c>
      <c r="N43" s="6" t="s">
        <v>592</v>
      </c>
    </row>
    <row r="44" customFormat="false" ht="34.5" hidden="false" customHeight="true" outlineLevel="0" collapsed="false">
      <c r="A44" s="9" t="s">
        <v>644</v>
      </c>
      <c r="B44" s="9" t="s">
        <v>350</v>
      </c>
      <c r="C44" s="9" t="n">
        <v>0.9083</v>
      </c>
      <c r="D44" s="9" t="n">
        <v>108.9856</v>
      </c>
      <c r="E44" s="9" t="s">
        <v>645</v>
      </c>
      <c r="F44" s="9" t="s">
        <v>588</v>
      </c>
      <c r="G44" s="9" t="s">
        <v>587</v>
      </c>
      <c r="H44" s="9" t="s">
        <v>587</v>
      </c>
      <c r="I44" s="9" t="s">
        <v>588</v>
      </c>
      <c r="J44" s="9" t="s">
        <v>588</v>
      </c>
      <c r="K44" s="9" t="s">
        <v>588</v>
      </c>
      <c r="L44" s="9" t="s">
        <v>248</v>
      </c>
      <c r="M44" s="9" t="s">
        <v>588</v>
      </c>
      <c r="N44" s="8" t="s">
        <v>592</v>
      </c>
    </row>
    <row r="45" customFormat="false" ht="34.5" hidden="false" customHeight="true" outlineLevel="0" collapsed="false">
      <c r="A45" s="7" t="s">
        <v>646</v>
      </c>
      <c r="B45" s="7" t="s">
        <v>356</v>
      </c>
      <c r="C45" s="7" t="n">
        <v>-2.8</v>
      </c>
      <c r="D45" s="7" t="n">
        <v>111.8333</v>
      </c>
      <c r="E45" s="7" t="s">
        <v>576</v>
      </c>
      <c r="F45" s="7" t="s">
        <v>587</v>
      </c>
      <c r="G45" s="7" t="s">
        <v>588</v>
      </c>
      <c r="H45" s="7" t="s">
        <v>588</v>
      </c>
      <c r="I45" s="7" t="s">
        <v>588</v>
      </c>
      <c r="J45" s="7" t="s">
        <v>588</v>
      </c>
      <c r="K45" s="7" t="s">
        <v>588</v>
      </c>
      <c r="L45" s="7" t="s">
        <v>248</v>
      </c>
      <c r="M45" s="7" t="s">
        <v>588</v>
      </c>
      <c r="N45" s="6" t="s">
        <v>592</v>
      </c>
    </row>
    <row r="46" customFormat="false" ht="34.5" hidden="false" customHeight="true" outlineLevel="0" collapsed="false">
      <c r="A46" s="9" t="s">
        <v>647</v>
      </c>
      <c r="B46" s="9" t="s">
        <v>361</v>
      </c>
      <c r="C46" s="9" t="n">
        <v>-3.2833</v>
      </c>
      <c r="D46" s="9" t="n">
        <v>114.7833</v>
      </c>
      <c r="E46" s="9" t="s">
        <v>578</v>
      </c>
      <c r="F46" s="9" t="s">
        <v>588</v>
      </c>
      <c r="G46" s="9" t="s">
        <v>588</v>
      </c>
      <c r="H46" s="9" t="s">
        <v>587</v>
      </c>
      <c r="I46" s="9" t="s">
        <v>588</v>
      </c>
      <c r="J46" s="9" t="s">
        <v>588</v>
      </c>
      <c r="K46" s="9" t="s">
        <v>588</v>
      </c>
      <c r="L46" s="9" t="s">
        <v>248</v>
      </c>
      <c r="M46" s="9" t="s">
        <v>588</v>
      </c>
      <c r="N46" s="8" t="s">
        <v>592</v>
      </c>
    </row>
    <row r="47" customFormat="false" ht="34.5" hidden="false" customHeight="true" outlineLevel="0" collapsed="false">
      <c r="A47" s="7" t="s">
        <v>648</v>
      </c>
      <c r="B47" s="7" t="s">
        <v>366</v>
      </c>
      <c r="C47" s="7" t="n">
        <v>2.2833</v>
      </c>
      <c r="D47" s="7" t="n">
        <v>118.25</v>
      </c>
      <c r="E47" s="7" t="s">
        <v>579</v>
      </c>
      <c r="F47" s="7" t="s">
        <v>588</v>
      </c>
      <c r="G47" s="7" t="s">
        <v>588</v>
      </c>
      <c r="H47" s="7" t="s">
        <v>588</v>
      </c>
      <c r="I47" s="7" t="s">
        <v>587</v>
      </c>
      <c r="J47" s="7" t="s">
        <v>588</v>
      </c>
      <c r="K47" s="7" t="s">
        <v>588</v>
      </c>
      <c r="L47" s="7" t="s">
        <v>248</v>
      </c>
      <c r="M47" s="7" t="s">
        <v>588</v>
      </c>
      <c r="N47" s="6" t="s">
        <v>592</v>
      </c>
    </row>
    <row r="48" customFormat="false" ht="34.5" hidden="false" customHeight="true" outlineLevel="0" collapsed="false">
      <c r="A48" s="9" t="s">
        <v>649</v>
      </c>
      <c r="B48" s="9" t="s">
        <v>350</v>
      </c>
      <c r="C48" s="9" t="n">
        <v>0.8833</v>
      </c>
      <c r="D48" s="9" t="n">
        <v>111.95</v>
      </c>
      <c r="E48" s="9" t="s">
        <v>586</v>
      </c>
      <c r="F48" s="9" t="s">
        <v>587</v>
      </c>
      <c r="G48" s="9" t="s">
        <v>588</v>
      </c>
      <c r="H48" s="9" t="s">
        <v>588</v>
      </c>
      <c r="I48" s="9" t="s">
        <v>588</v>
      </c>
      <c r="J48" s="9" t="s">
        <v>588</v>
      </c>
      <c r="K48" s="9" t="s">
        <v>588</v>
      </c>
      <c r="L48" s="9" t="s">
        <v>248</v>
      </c>
      <c r="M48" s="9" t="s">
        <v>588</v>
      </c>
      <c r="N48" s="8" t="s">
        <v>592</v>
      </c>
    </row>
    <row r="49" customFormat="false" ht="34.5" hidden="false" customHeight="true" outlineLevel="0" collapsed="false">
      <c r="A49" s="7" t="s">
        <v>650</v>
      </c>
      <c r="B49" s="7" t="s">
        <v>376</v>
      </c>
      <c r="C49" s="7" t="n">
        <v>1.6217</v>
      </c>
      <c r="D49" s="7" t="n">
        <v>124.7581</v>
      </c>
      <c r="E49" s="7" t="s">
        <v>579</v>
      </c>
      <c r="F49" s="7" t="s">
        <v>588</v>
      </c>
      <c r="G49" s="7" t="s">
        <v>588</v>
      </c>
      <c r="H49" s="7" t="s">
        <v>588</v>
      </c>
      <c r="I49" s="7" t="s">
        <v>587</v>
      </c>
      <c r="J49" s="7" t="s">
        <v>588</v>
      </c>
      <c r="K49" s="7" t="s">
        <v>588</v>
      </c>
      <c r="L49" s="7" t="s">
        <v>248</v>
      </c>
      <c r="M49" s="7" t="s">
        <v>588</v>
      </c>
      <c r="N49" s="6" t="s">
        <v>592</v>
      </c>
    </row>
    <row r="50" customFormat="false" ht="23.25" hidden="false" customHeight="true" outlineLevel="0" collapsed="false">
      <c r="A50" s="9" t="s">
        <v>651</v>
      </c>
      <c r="B50" s="9" t="s">
        <v>376</v>
      </c>
      <c r="C50" s="9" t="n">
        <v>1.6667</v>
      </c>
      <c r="D50" s="9" t="n">
        <v>125.0667</v>
      </c>
      <c r="E50" s="9" t="s">
        <v>579</v>
      </c>
      <c r="F50" s="9" t="s">
        <v>588</v>
      </c>
      <c r="G50" s="9" t="s">
        <v>588</v>
      </c>
      <c r="H50" s="9" t="s">
        <v>588</v>
      </c>
      <c r="I50" s="9" t="s">
        <v>587</v>
      </c>
      <c r="J50" s="9" t="s">
        <v>588</v>
      </c>
      <c r="K50" s="9" t="s">
        <v>588</v>
      </c>
      <c r="L50" s="9" t="s">
        <v>248</v>
      </c>
      <c r="M50" s="9" t="s">
        <v>589</v>
      </c>
      <c r="N50" s="8" t="s">
        <v>590</v>
      </c>
    </row>
    <row r="51" customFormat="false" ht="34.5" hidden="false" customHeight="true" outlineLevel="0" collapsed="false">
      <c r="A51" s="7" t="s">
        <v>652</v>
      </c>
      <c r="B51" s="7" t="s">
        <v>383</v>
      </c>
      <c r="C51" s="7" t="n">
        <v>-0.4167</v>
      </c>
      <c r="D51" s="7" t="n">
        <v>121.95</v>
      </c>
      <c r="E51" s="7" t="s">
        <v>579</v>
      </c>
      <c r="F51" s="7" t="s">
        <v>588</v>
      </c>
      <c r="G51" s="7" t="s">
        <v>588</v>
      </c>
      <c r="H51" s="7" t="s">
        <v>588</v>
      </c>
      <c r="I51" s="7" t="s">
        <v>587</v>
      </c>
      <c r="J51" s="7" t="s">
        <v>588</v>
      </c>
      <c r="K51" s="7" t="s">
        <v>588</v>
      </c>
      <c r="L51" s="7" t="s">
        <v>248</v>
      </c>
      <c r="M51" s="7" t="s">
        <v>588</v>
      </c>
      <c r="N51" s="6" t="s">
        <v>592</v>
      </c>
    </row>
    <row r="52" customFormat="false" ht="34.5" hidden="false" customHeight="true" outlineLevel="0" collapsed="false">
      <c r="A52" s="9" t="s">
        <v>391</v>
      </c>
      <c r="B52" s="9" t="s">
        <v>388</v>
      </c>
      <c r="C52" s="9" t="n">
        <v>-3.0864</v>
      </c>
      <c r="D52" s="9" t="n">
        <v>119.8306</v>
      </c>
      <c r="E52" s="9" t="s">
        <v>578</v>
      </c>
      <c r="F52" s="9" t="s">
        <v>588</v>
      </c>
      <c r="G52" s="9" t="s">
        <v>588</v>
      </c>
      <c r="H52" s="9" t="s">
        <v>587</v>
      </c>
      <c r="I52" s="9" t="s">
        <v>588</v>
      </c>
      <c r="J52" s="9" t="s">
        <v>588</v>
      </c>
      <c r="K52" s="9" t="s">
        <v>587</v>
      </c>
      <c r="L52" s="9" t="s">
        <v>248</v>
      </c>
      <c r="M52" s="9" t="s">
        <v>588</v>
      </c>
      <c r="N52" s="8" t="s">
        <v>592</v>
      </c>
    </row>
    <row r="53" customFormat="false" ht="23.25" hidden="false" customHeight="true" outlineLevel="0" collapsed="false">
      <c r="A53" s="7" t="s">
        <v>653</v>
      </c>
      <c r="B53" s="7" t="s">
        <v>393</v>
      </c>
      <c r="C53" s="7" t="n">
        <v>-5.3333</v>
      </c>
      <c r="D53" s="7" t="n">
        <v>123.75</v>
      </c>
      <c r="E53" s="7" t="s">
        <v>579</v>
      </c>
      <c r="F53" s="7" t="s">
        <v>588</v>
      </c>
      <c r="G53" s="7" t="s">
        <v>588</v>
      </c>
      <c r="H53" s="7" t="s">
        <v>588</v>
      </c>
      <c r="I53" s="7" t="s">
        <v>587</v>
      </c>
      <c r="J53" s="7" t="s">
        <v>588</v>
      </c>
      <c r="K53" s="7" t="s">
        <v>588</v>
      </c>
      <c r="L53" s="7" t="s">
        <v>248</v>
      </c>
      <c r="M53" s="7" t="s">
        <v>607</v>
      </c>
      <c r="N53" s="6" t="s">
        <v>590</v>
      </c>
    </row>
    <row r="54" customFormat="false" ht="34.5" hidden="false" customHeight="true" outlineLevel="0" collapsed="false">
      <c r="A54" s="9" t="s">
        <v>654</v>
      </c>
      <c r="B54" s="9" t="s">
        <v>399</v>
      </c>
      <c r="C54" s="9" t="n">
        <v>0.5833</v>
      </c>
      <c r="D54" s="9" t="n">
        <v>122.9833</v>
      </c>
      <c r="E54" s="9" t="s">
        <v>586</v>
      </c>
      <c r="F54" s="9" t="s">
        <v>587</v>
      </c>
      <c r="G54" s="9" t="s">
        <v>588</v>
      </c>
      <c r="H54" s="9" t="s">
        <v>588</v>
      </c>
      <c r="I54" s="9" t="s">
        <v>588</v>
      </c>
      <c r="J54" s="9" t="s">
        <v>588</v>
      </c>
      <c r="K54" s="9" t="s">
        <v>588</v>
      </c>
      <c r="L54" s="9" t="s">
        <v>248</v>
      </c>
      <c r="M54" s="9" t="s">
        <v>588</v>
      </c>
      <c r="N54" s="8" t="s">
        <v>592</v>
      </c>
    </row>
    <row r="55" customFormat="false" ht="34.5" hidden="false" customHeight="true" outlineLevel="0" collapsed="false">
      <c r="A55" s="7" t="s">
        <v>655</v>
      </c>
      <c r="B55" s="7" t="s">
        <v>404</v>
      </c>
      <c r="C55" s="7" t="n">
        <v>-2.6785</v>
      </c>
      <c r="D55" s="7" t="n">
        <v>118.8877</v>
      </c>
      <c r="E55" s="7" t="s">
        <v>579</v>
      </c>
      <c r="F55" s="7" t="s">
        <v>588</v>
      </c>
      <c r="G55" s="7" t="s">
        <v>588</v>
      </c>
      <c r="H55" s="7" t="s">
        <v>588</v>
      </c>
      <c r="I55" s="7" t="s">
        <v>587</v>
      </c>
      <c r="J55" s="7" t="s">
        <v>588</v>
      </c>
      <c r="K55" s="7" t="s">
        <v>588</v>
      </c>
      <c r="L55" s="7" t="s">
        <v>248</v>
      </c>
      <c r="M55" s="7" t="s">
        <v>588</v>
      </c>
      <c r="N55" s="6" t="s">
        <v>592</v>
      </c>
    </row>
    <row r="56" customFormat="false" ht="34.5" hidden="false" customHeight="true" outlineLevel="0" collapsed="false">
      <c r="A56" s="9" t="s">
        <v>656</v>
      </c>
      <c r="B56" s="9" t="s">
        <v>409</v>
      </c>
      <c r="C56" s="9" t="n">
        <v>-4.5257</v>
      </c>
      <c r="D56" s="9" t="n">
        <v>129.8991</v>
      </c>
      <c r="E56" s="9" t="s">
        <v>657</v>
      </c>
      <c r="F56" s="9" t="s">
        <v>588</v>
      </c>
      <c r="G56" s="9" t="s">
        <v>588</v>
      </c>
      <c r="H56" s="9" t="s">
        <v>587</v>
      </c>
      <c r="I56" s="9" t="s">
        <v>587</v>
      </c>
      <c r="J56" s="9" t="s">
        <v>588</v>
      </c>
      <c r="K56" s="9" t="s">
        <v>588</v>
      </c>
      <c r="L56" s="9" t="s">
        <v>248</v>
      </c>
      <c r="M56" s="9" t="s">
        <v>588</v>
      </c>
      <c r="N56" s="8" t="s">
        <v>592</v>
      </c>
    </row>
    <row r="57" customFormat="false" ht="23.25" hidden="false" customHeight="true" outlineLevel="0" collapsed="false">
      <c r="A57" s="7" t="s">
        <v>658</v>
      </c>
      <c r="B57" s="7" t="s">
        <v>414</v>
      </c>
      <c r="C57" s="7" t="n">
        <v>2.05</v>
      </c>
      <c r="D57" s="7" t="n">
        <v>128.3333</v>
      </c>
      <c r="E57" s="7" t="s">
        <v>659</v>
      </c>
      <c r="F57" s="7" t="s">
        <v>588</v>
      </c>
      <c r="G57" s="7" t="s">
        <v>588</v>
      </c>
      <c r="H57" s="7" t="s">
        <v>587</v>
      </c>
      <c r="I57" s="7" t="s">
        <v>587</v>
      </c>
      <c r="J57" s="7" t="s">
        <v>588</v>
      </c>
      <c r="K57" s="7" t="s">
        <v>588</v>
      </c>
      <c r="L57" s="7" t="s">
        <v>248</v>
      </c>
      <c r="M57" s="7" t="s">
        <v>607</v>
      </c>
      <c r="N57" s="6" t="s">
        <v>590</v>
      </c>
    </row>
    <row r="58" customFormat="false" ht="34.5" hidden="false" customHeight="true" outlineLevel="0" collapsed="false">
      <c r="A58" s="9" t="s">
        <v>660</v>
      </c>
      <c r="B58" s="9" t="s">
        <v>420</v>
      </c>
      <c r="C58" s="9" t="n">
        <v>-2.6</v>
      </c>
      <c r="D58" s="9" t="n">
        <v>140.5167</v>
      </c>
      <c r="E58" s="9" t="s">
        <v>586</v>
      </c>
      <c r="F58" s="9" t="s">
        <v>587</v>
      </c>
      <c r="G58" s="9" t="s">
        <v>588</v>
      </c>
      <c r="H58" s="9" t="s">
        <v>588</v>
      </c>
      <c r="I58" s="9" t="s">
        <v>588</v>
      </c>
      <c r="J58" s="9" t="s">
        <v>588</v>
      </c>
      <c r="K58" s="9" t="s">
        <v>588</v>
      </c>
      <c r="L58" s="9" t="s">
        <v>248</v>
      </c>
      <c r="M58" s="9" t="s">
        <v>588</v>
      </c>
      <c r="N58" s="8" t="s">
        <v>592</v>
      </c>
    </row>
    <row r="59" customFormat="false" ht="23.25" hidden="false" customHeight="true" outlineLevel="0" collapsed="false">
      <c r="A59" s="7" t="s">
        <v>429</v>
      </c>
      <c r="B59" s="7" t="s">
        <v>431</v>
      </c>
      <c r="C59" s="7" t="n">
        <v>-0.5</v>
      </c>
      <c r="D59" s="7" t="n">
        <v>130.5</v>
      </c>
      <c r="E59" s="7" t="s">
        <v>579</v>
      </c>
      <c r="F59" s="7" t="s">
        <v>588</v>
      </c>
      <c r="G59" s="7" t="s">
        <v>588</v>
      </c>
      <c r="H59" s="7" t="s">
        <v>588</v>
      </c>
      <c r="I59" s="7" t="s">
        <v>587</v>
      </c>
      <c r="J59" s="7" t="s">
        <v>588</v>
      </c>
      <c r="K59" s="7" t="s">
        <v>588</v>
      </c>
      <c r="L59" s="7" t="s">
        <v>248</v>
      </c>
      <c r="M59" s="7" t="s">
        <v>607</v>
      </c>
      <c r="N59" s="6" t="s">
        <v>590</v>
      </c>
    </row>
    <row r="60" customFormat="false" ht="34.5" hidden="false" customHeight="true" outlineLevel="0" collapsed="false">
      <c r="A60" s="9" t="s">
        <v>661</v>
      </c>
      <c r="B60" s="9" t="s">
        <v>441</v>
      </c>
      <c r="C60" s="9" t="n">
        <v>-4.0847</v>
      </c>
      <c r="D60" s="9" t="n">
        <v>138.955</v>
      </c>
      <c r="E60" s="9" t="s">
        <v>662</v>
      </c>
      <c r="F60" s="9" t="s">
        <v>588</v>
      </c>
      <c r="G60" s="9" t="s">
        <v>588</v>
      </c>
      <c r="H60" s="9" t="s">
        <v>587</v>
      </c>
      <c r="I60" s="9" t="s">
        <v>588</v>
      </c>
      <c r="J60" s="9" t="s">
        <v>587</v>
      </c>
      <c r="K60" s="9" t="s">
        <v>588</v>
      </c>
      <c r="L60" s="9" t="s">
        <v>248</v>
      </c>
      <c r="M60" s="9" t="s">
        <v>588</v>
      </c>
      <c r="N60" s="8" t="s">
        <v>592</v>
      </c>
    </row>
    <row r="61" customFormat="false" ht="23.25" hidden="false" customHeight="true" outlineLevel="0" collapsed="false">
      <c r="A61" s="7" t="s">
        <v>663</v>
      </c>
      <c r="B61" s="7" t="s">
        <v>436</v>
      </c>
      <c r="C61" s="7" t="n">
        <v>-4.6667</v>
      </c>
      <c r="D61" s="7" t="n">
        <v>137.9167</v>
      </c>
      <c r="E61" s="7" t="s">
        <v>576</v>
      </c>
      <c r="F61" s="7" t="s">
        <v>587</v>
      </c>
      <c r="G61" s="7" t="s">
        <v>588</v>
      </c>
      <c r="H61" s="7" t="s">
        <v>588</v>
      </c>
      <c r="I61" s="7" t="s">
        <v>588</v>
      </c>
      <c r="J61" s="7" t="s">
        <v>587</v>
      </c>
      <c r="K61" s="7" t="s">
        <v>588</v>
      </c>
      <c r="L61" s="7" t="s">
        <v>603</v>
      </c>
      <c r="M61" s="7" t="s">
        <v>588</v>
      </c>
      <c r="N61" s="6" t="s">
        <v>604</v>
      </c>
    </row>
    <row r="62" customFormat="false" ht="34.5" hidden="false" customHeight="true" outlineLevel="0" collapsed="false">
      <c r="A62" s="9" t="s">
        <v>664</v>
      </c>
      <c r="B62" s="9" t="s">
        <v>446</v>
      </c>
      <c r="C62" s="9" t="n">
        <v>-8.5</v>
      </c>
      <c r="D62" s="9" t="n">
        <v>140.8333</v>
      </c>
      <c r="E62" s="9" t="s">
        <v>576</v>
      </c>
      <c r="F62" s="9" t="s">
        <v>587</v>
      </c>
      <c r="G62" s="9" t="s">
        <v>588</v>
      </c>
      <c r="H62" s="9" t="s">
        <v>588</v>
      </c>
      <c r="I62" s="9" t="s">
        <v>588</v>
      </c>
      <c r="J62" s="9" t="s">
        <v>588</v>
      </c>
      <c r="K62" s="9" t="s">
        <v>588</v>
      </c>
      <c r="L62" s="9" t="s">
        <v>248</v>
      </c>
      <c r="M62" s="9" t="s">
        <v>588</v>
      </c>
      <c r="N62" s="8" t="s">
        <v>592</v>
      </c>
    </row>
    <row r="63" customFormat="false" ht="34.5" hidden="false" customHeight="true" outlineLevel="0" collapsed="false">
      <c r="A63" s="7" t="s">
        <v>665</v>
      </c>
      <c r="B63" s="7" t="s">
        <v>259</v>
      </c>
      <c r="C63" s="7" t="n">
        <v>-0.3025</v>
      </c>
      <c r="D63" s="7" t="n">
        <v>100.3572</v>
      </c>
      <c r="E63" s="7" t="s">
        <v>576</v>
      </c>
      <c r="F63" s="7" t="s">
        <v>587</v>
      </c>
      <c r="G63" s="7" t="s">
        <v>588</v>
      </c>
      <c r="H63" s="7" t="s">
        <v>588</v>
      </c>
      <c r="I63" s="7" t="s">
        <v>588</v>
      </c>
      <c r="J63" s="7" t="s">
        <v>588</v>
      </c>
      <c r="K63" s="7" t="s">
        <v>588</v>
      </c>
      <c r="L63" s="7" t="s">
        <v>248</v>
      </c>
      <c r="M63" s="7" t="s">
        <v>588</v>
      </c>
      <c r="N63" s="6" t="s">
        <v>592</v>
      </c>
    </row>
    <row r="64" customFormat="false" ht="34.5" hidden="false" customHeight="true" outlineLevel="0" collapsed="false">
      <c r="A64" s="9" t="s">
        <v>666</v>
      </c>
      <c r="B64" s="9" t="s">
        <v>259</v>
      </c>
      <c r="C64" s="9" t="n">
        <v>-0.3167</v>
      </c>
      <c r="D64" s="9" t="n">
        <v>100.2</v>
      </c>
      <c r="E64" s="9" t="s">
        <v>586</v>
      </c>
      <c r="F64" s="9" t="s">
        <v>587</v>
      </c>
      <c r="G64" s="9" t="s">
        <v>588</v>
      </c>
      <c r="H64" s="9" t="s">
        <v>588</v>
      </c>
      <c r="I64" s="9" t="s">
        <v>588</v>
      </c>
      <c r="J64" s="9" t="s">
        <v>588</v>
      </c>
      <c r="K64" s="9" t="s">
        <v>588</v>
      </c>
      <c r="L64" s="9" t="s">
        <v>248</v>
      </c>
      <c r="M64" s="9" t="s">
        <v>588</v>
      </c>
      <c r="N64" s="8" t="s">
        <v>592</v>
      </c>
    </row>
    <row r="65" customFormat="false" ht="34.5" hidden="false" customHeight="true" outlineLevel="0" collapsed="false">
      <c r="A65" s="7" t="s">
        <v>667</v>
      </c>
      <c r="B65" s="7" t="s">
        <v>306</v>
      </c>
      <c r="C65" s="7" t="n">
        <v>-7.7</v>
      </c>
      <c r="D65" s="7" t="n">
        <v>108.65</v>
      </c>
      <c r="E65" s="7" t="s">
        <v>622</v>
      </c>
      <c r="F65" s="7" t="s">
        <v>588</v>
      </c>
      <c r="G65" s="7" t="s">
        <v>588</v>
      </c>
      <c r="H65" s="7" t="s">
        <v>588</v>
      </c>
      <c r="I65" s="7" t="s">
        <v>587</v>
      </c>
      <c r="J65" s="7" t="s">
        <v>588</v>
      </c>
      <c r="K65" s="7" t="s">
        <v>588</v>
      </c>
      <c r="L65" s="7" t="s">
        <v>248</v>
      </c>
      <c r="M65" s="7" t="s">
        <v>588</v>
      </c>
      <c r="N65" s="6" t="s">
        <v>592</v>
      </c>
    </row>
    <row r="66" customFormat="false" ht="23.25" hidden="false" customHeight="true" outlineLevel="0" collapsed="false">
      <c r="A66" s="9" t="s">
        <v>668</v>
      </c>
      <c r="B66" s="9" t="s">
        <v>322</v>
      </c>
      <c r="C66" s="9" t="n">
        <v>-8.1077</v>
      </c>
      <c r="D66" s="9" t="n">
        <v>112.9224</v>
      </c>
      <c r="E66" s="9" t="s">
        <v>602</v>
      </c>
      <c r="F66" s="9" t="s">
        <v>587</v>
      </c>
      <c r="G66" s="9" t="s">
        <v>588</v>
      </c>
      <c r="H66" s="9" t="s">
        <v>588</v>
      </c>
      <c r="I66" s="9" t="s">
        <v>588</v>
      </c>
      <c r="J66" s="9" t="s">
        <v>587</v>
      </c>
      <c r="K66" s="9" t="s">
        <v>588</v>
      </c>
      <c r="L66" s="9" t="s">
        <v>248</v>
      </c>
      <c r="M66" s="9" t="s">
        <v>669</v>
      </c>
      <c r="N66" s="8" t="s">
        <v>590</v>
      </c>
    </row>
    <row r="67" customFormat="false" ht="34.5" hidden="false" customHeight="true" outlineLevel="0" collapsed="false">
      <c r="A67" s="7" t="s">
        <v>670</v>
      </c>
      <c r="B67" s="7" t="s">
        <v>322</v>
      </c>
      <c r="C67" s="7" t="n">
        <v>-7.85</v>
      </c>
      <c r="D67" s="7" t="n">
        <v>114.3833</v>
      </c>
      <c r="E67" s="7" t="s">
        <v>576</v>
      </c>
      <c r="F67" s="7" t="s">
        <v>587</v>
      </c>
      <c r="G67" s="7" t="s">
        <v>588</v>
      </c>
      <c r="H67" s="7" t="s">
        <v>588</v>
      </c>
      <c r="I67" s="7" t="s">
        <v>588</v>
      </c>
      <c r="J67" s="7" t="s">
        <v>588</v>
      </c>
      <c r="K67" s="7" t="s">
        <v>588</v>
      </c>
      <c r="L67" s="7" t="s">
        <v>248</v>
      </c>
      <c r="M67" s="7" t="s">
        <v>588</v>
      </c>
      <c r="N67" s="6" t="s">
        <v>592</v>
      </c>
    </row>
    <row r="68" customFormat="false" ht="34.5" hidden="false" customHeight="true" outlineLevel="0" collapsed="false">
      <c r="A68" s="9" t="s">
        <v>671</v>
      </c>
      <c r="B68" s="9" t="s">
        <v>332</v>
      </c>
      <c r="C68" s="9" t="n">
        <v>-8.6833</v>
      </c>
      <c r="D68" s="9" t="n">
        <v>115.2667</v>
      </c>
      <c r="E68" s="9" t="s">
        <v>622</v>
      </c>
      <c r="F68" s="9" t="s">
        <v>588</v>
      </c>
      <c r="G68" s="9" t="s">
        <v>588</v>
      </c>
      <c r="H68" s="9" t="s">
        <v>588</v>
      </c>
      <c r="I68" s="9" t="s">
        <v>587</v>
      </c>
      <c r="J68" s="9" t="s">
        <v>588</v>
      </c>
      <c r="K68" s="9" t="s">
        <v>588</v>
      </c>
      <c r="L68" s="9" t="s">
        <v>248</v>
      </c>
      <c r="M68" s="9" t="s">
        <v>588</v>
      </c>
      <c r="N68" s="8" t="s">
        <v>592</v>
      </c>
    </row>
    <row r="69" customFormat="false" ht="34.5" hidden="false" customHeight="true" outlineLevel="0" collapsed="false">
      <c r="A69" s="7" t="s">
        <v>672</v>
      </c>
      <c r="B69" s="7" t="s">
        <v>328</v>
      </c>
      <c r="C69" s="7" t="n">
        <v>-6.45</v>
      </c>
      <c r="D69" s="7" t="n">
        <v>105.6333</v>
      </c>
      <c r="E69" s="7" t="s">
        <v>579</v>
      </c>
      <c r="F69" s="7" t="s">
        <v>588</v>
      </c>
      <c r="G69" s="7" t="s">
        <v>588</v>
      </c>
      <c r="H69" s="7" t="s">
        <v>588</v>
      </c>
      <c r="I69" s="7" t="s">
        <v>587</v>
      </c>
      <c r="J69" s="7" t="s">
        <v>588</v>
      </c>
      <c r="K69" s="7" t="s">
        <v>588</v>
      </c>
      <c r="L69" s="7" t="s">
        <v>248</v>
      </c>
      <c r="M69" s="7" t="s">
        <v>588</v>
      </c>
      <c r="N69" s="6" t="s">
        <v>592</v>
      </c>
    </row>
    <row r="70" customFormat="false" ht="34.5" hidden="false" customHeight="true" outlineLevel="0" collapsed="false">
      <c r="A70" s="9" t="s">
        <v>673</v>
      </c>
      <c r="B70" s="9" t="s">
        <v>311</v>
      </c>
      <c r="C70" s="9" t="n">
        <v>-5.8167</v>
      </c>
      <c r="D70" s="9" t="n">
        <v>110.4333</v>
      </c>
      <c r="E70" s="9" t="s">
        <v>579</v>
      </c>
      <c r="F70" s="9" t="s">
        <v>588</v>
      </c>
      <c r="G70" s="9" t="s">
        <v>588</v>
      </c>
      <c r="H70" s="9" t="s">
        <v>588</v>
      </c>
      <c r="I70" s="9" t="s">
        <v>587</v>
      </c>
      <c r="J70" s="9" t="s">
        <v>588</v>
      </c>
      <c r="K70" s="9" t="s">
        <v>588</v>
      </c>
      <c r="L70" s="9" t="s">
        <v>248</v>
      </c>
      <c r="M70" s="9" t="s">
        <v>588</v>
      </c>
      <c r="N70" s="8" t="s">
        <v>592</v>
      </c>
    </row>
    <row r="71" customFormat="false" ht="34.5" hidden="false" customHeight="true" outlineLevel="0" collapsed="false">
      <c r="A71" s="7" t="s">
        <v>674</v>
      </c>
      <c r="B71" s="7" t="s">
        <v>300</v>
      </c>
      <c r="C71" s="7" t="n">
        <v>-6.3024</v>
      </c>
      <c r="D71" s="7" t="n">
        <v>106.8951</v>
      </c>
      <c r="E71" s="7" t="s">
        <v>645</v>
      </c>
      <c r="F71" s="7" t="s">
        <v>588</v>
      </c>
      <c r="G71" s="7" t="s">
        <v>587</v>
      </c>
      <c r="H71" s="7" t="s">
        <v>587</v>
      </c>
      <c r="I71" s="7" t="s">
        <v>588</v>
      </c>
      <c r="J71" s="7" t="s">
        <v>588</v>
      </c>
      <c r="K71" s="7" t="s">
        <v>588</v>
      </c>
      <c r="L71" s="7" t="s">
        <v>248</v>
      </c>
      <c r="M71" s="7" t="s">
        <v>588</v>
      </c>
      <c r="N71" s="6" t="s">
        <v>592</v>
      </c>
    </row>
    <row r="72" customFormat="false" ht="34.5" hidden="false" customHeight="true" outlineLevel="0" collapsed="false">
      <c r="A72" s="9" t="s">
        <v>675</v>
      </c>
      <c r="B72" s="9" t="s">
        <v>300</v>
      </c>
      <c r="C72" s="9" t="n">
        <v>-6.1256</v>
      </c>
      <c r="D72" s="9" t="n">
        <v>106.8317</v>
      </c>
      <c r="E72" s="9" t="s">
        <v>577</v>
      </c>
      <c r="F72" s="9" t="s">
        <v>588</v>
      </c>
      <c r="G72" s="9" t="s">
        <v>587</v>
      </c>
      <c r="H72" s="9" t="s">
        <v>588</v>
      </c>
      <c r="I72" s="9" t="s">
        <v>588</v>
      </c>
      <c r="J72" s="9" t="s">
        <v>588</v>
      </c>
      <c r="K72" s="9" t="s">
        <v>588</v>
      </c>
      <c r="L72" s="9" t="s">
        <v>248</v>
      </c>
      <c r="M72" s="9" t="s">
        <v>588</v>
      </c>
      <c r="N72" s="8" t="s">
        <v>592</v>
      </c>
    </row>
    <row r="73" customFormat="false" ht="34.5" hidden="false" customHeight="true" outlineLevel="0" collapsed="false">
      <c r="A73" s="7" t="s">
        <v>676</v>
      </c>
      <c r="B73" s="7" t="s">
        <v>322</v>
      </c>
      <c r="C73" s="7" t="n">
        <v>-7.8797</v>
      </c>
      <c r="D73" s="7" t="n">
        <v>112.5231</v>
      </c>
      <c r="E73" s="7" t="s">
        <v>597</v>
      </c>
      <c r="F73" s="7" t="s">
        <v>588</v>
      </c>
      <c r="G73" s="7" t="s">
        <v>587</v>
      </c>
      <c r="H73" s="7" t="s">
        <v>587</v>
      </c>
      <c r="I73" s="7" t="s">
        <v>588</v>
      </c>
      <c r="J73" s="7" t="s">
        <v>588</v>
      </c>
      <c r="K73" s="7" t="s">
        <v>588</v>
      </c>
      <c r="L73" s="7" t="s">
        <v>248</v>
      </c>
      <c r="M73" s="7" t="s">
        <v>588</v>
      </c>
      <c r="N73" s="6" t="s">
        <v>592</v>
      </c>
    </row>
    <row r="74" customFormat="false" ht="34.5" hidden="false" customHeight="true" outlineLevel="0" collapsed="false">
      <c r="A74" s="9" t="s">
        <v>677</v>
      </c>
      <c r="B74" s="9" t="s">
        <v>244</v>
      </c>
      <c r="C74" s="9" t="n">
        <v>5.5533</v>
      </c>
      <c r="D74" s="9" t="n">
        <v>95.3186</v>
      </c>
      <c r="E74" s="9" t="s">
        <v>597</v>
      </c>
      <c r="F74" s="9" t="s">
        <v>588</v>
      </c>
      <c r="G74" s="9" t="s">
        <v>587</v>
      </c>
      <c r="H74" s="9" t="s">
        <v>587</v>
      </c>
      <c r="I74" s="9" t="s">
        <v>588</v>
      </c>
      <c r="J74" s="9" t="s">
        <v>588</v>
      </c>
      <c r="K74" s="9" t="s">
        <v>588</v>
      </c>
      <c r="L74" s="9" t="s">
        <v>248</v>
      </c>
      <c r="M74" s="9" t="s">
        <v>588</v>
      </c>
      <c r="N74" s="8" t="s">
        <v>592</v>
      </c>
    </row>
    <row r="75" customFormat="false" ht="34.5" hidden="false" customHeight="true" outlineLevel="0" collapsed="false">
      <c r="A75" s="7" t="s">
        <v>678</v>
      </c>
      <c r="B75" s="7" t="s">
        <v>244</v>
      </c>
      <c r="C75" s="7" t="n">
        <v>5.5577</v>
      </c>
      <c r="D75" s="7" t="n">
        <v>95.3151</v>
      </c>
      <c r="E75" s="7" t="s">
        <v>634</v>
      </c>
      <c r="F75" s="7" t="s">
        <v>588</v>
      </c>
      <c r="G75" s="7" t="s">
        <v>588</v>
      </c>
      <c r="H75" s="7" t="s">
        <v>587</v>
      </c>
      <c r="I75" s="7" t="s">
        <v>588</v>
      </c>
      <c r="J75" s="7" t="s">
        <v>588</v>
      </c>
      <c r="K75" s="7" t="s">
        <v>587</v>
      </c>
      <c r="L75" s="7" t="s">
        <v>248</v>
      </c>
      <c r="M75" s="7" t="s">
        <v>588</v>
      </c>
      <c r="N75" s="6" t="s">
        <v>592</v>
      </c>
    </row>
    <row r="76" customFormat="false" ht="34.5" hidden="false" customHeight="true" outlineLevel="0" collapsed="false">
      <c r="A76" s="9" t="s">
        <v>679</v>
      </c>
      <c r="B76" s="9" t="s">
        <v>253</v>
      </c>
      <c r="C76" s="9" t="n">
        <v>3.1667</v>
      </c>
      <c r="D76" s="9" t="n">
        <v>98.5</v>
      </c>
      <c r="E76" s="9" t="s">
        <v>602</v>
      </c>
      <c r="F76" s="9" t="s">
        <v>587</v>
      </c>
      <c r="G76" s="9" t="s">
        <v>588</v>
      </c>
      <c r="H76" s="9" t="s">
        <v>588</v>
      </c>
      <c r="I76" s="9" t="s">
        <v>588</v>
      </c>
      <c r="J76" s="9" t="s">
        <v>587</v>
      </c>
      <c r="K76" s="9" t="s">
        <v>588</v>
      </c>
      <c r="L76" s="9" t="s">
        <v>248</v>
      </c>
      <c r="M76" s="9" t="s">
        <v>588</v>
      </c>
      <c r="N76" s="8" t="s">
        <v>592</v>
      </c>
    </row>
    <row r="77" customFormat="false" ht="34.5" hidden="false" customHeight="true" outlineLevel="0" collapsed="false">
      <c r="A77" s="7" t="s">
        <v>680</v>
      </c>
      <c r="B77" s="7" t="s">
        <v>259</v>
      </c>
      <c r="C77" s="7" t="n">
        <v>-0.1667</v>
      </c>
      <c r="D77" s="7" t="n">
        <v>100.6333</v>
      </c>
      <c r="E77" s="7" t="s">
        <v>576</v>
      </c>
      <c r="F77" s="7" t="s">
        <v>587</v>
      </c>
      <c r="G77" s="7" t="s">
        <v>588</v>
      </c>
      <c r="H77" s="7" t="s">
        <v>588</v>
      </c>
      <c r="I77" s="7" t="s">
        <v>588</v>
      </c>
      <c r="J77" s="7" t="s">
        <v>588</v>
      </c>
      <c r="K77" s="7" t="s">
        <v>588</v>
      </c>
      <c r="L77" s="7" t="s">
        <v>248</v>
      </c>
      <c r="M77" s="7" t="s">
        <v>588</v>
      </c>
      <c r="N77" s="6" t="s">
        <v>592</v>
      </c>
    </row>
    <row r="78" customFormat="false" ht="34.5" hidden="false" customHeight="true" outlineLevel="0" collapsed="false">
      <c r="A78" s="9" t="s">
        <v>681</v>
      </c>
      <c r="B78" s="9" t="s">
        <v>269</v>
      </c>
      <c r="C78" s="9" t="n">
        <v>1.0833</v>
      </c>
      <c r="D78" s="9" t="n">
        <v>104.0333</v>
      </c>
      <c r="E78" s="9" t="s">
        <v>577</v>
      </c>
      <c r="F78" s="9" t="s">
        <v>588</v>
      </c>
      <c r="G78" s="9" t="s">
        <v>587</v>
      </c>
      <c r="H78" s="9" t="s">
        <v>588</v>
      </c>
      <c r="I78" s="9" t="s">
        <v>588</v>
      </c>
      <c r="J78" s="9" t="s">
        <v>588</v>
      </c>
      <c r="K78" s="9" t="s">
        <v>588</v>
      </c>
      <c r="L78" s="9" t="s">
        <v>248</v>
      </c>
      <c r="M78" s="9" t="s">
        <v>588</v>
      </c>
      <c r="N78" s="8" t="s">
        <v>592</v>
      </c>
    </row>
    <row r="79" customFormat="false" ht="34.5" hidden="false" customHeight="true" outlineLevel="0" collapsed="false">
      <c r="A79" s="7" t="s">
        <v>682</v>
      </c>
      <c r="B79" s="7" t="s">
        <v>279</v>
      </c>
      <c r="C79" s="7" t="n">
        <v>-3.0167</v>
      </c>
      <c r="D79" s="7" t="n">
        <v>104.7833</v>
      </c>
      <c r="E79" s="7" t="s">
        <v>578</v>
      </c>
      <c r="F79" s="7" t="s">
        <v>588</v>
      </c>
      <c r="G79" s="7" t="s">
        <v>588</v>
      </c>
      <c r="H79" s="7" t="s">
        <v>587</v>
      </c>
      <c r="I79" s="7" t="s">
        <v>588</v>
      </c>
      <c r="J79" s="7" t="s">
        <v>588</v>
      </c>
      <c r="K79" s="7" t="s">
        <v>588</v>
      </c>
      <c r="L79" s="7" t="s">
        <v>248</v>
      </c>
      <c r="M79" s="7" t="s">
        <v>588</v>
      </c>
      <c r="N79" s="6" t="s">
        <v>592</v>
      </c>
    </row>
    <row r="80" customFormat="false" ht="34.5" hidden="false" customHeight="true" outlineLevel="0" collapsed="false">
      <c r="A80" s="9" t="s">
        <v>683</v>
      </c>
      <c r="B80" s="9" t="s">
        <v>284</v>
      </c>
      <c r="C80" s="9" t="n">
        <v>-2.5167</v>
      </c>
      <c r="D80" s="9" t="n">
        <v>107.6333</v>
      </c>
      <c r="E80" s="9" t="s">
        <v>579</v>
      </c>
      <c r="F80" s="9" t="s">
        <v>588</v>
      </c>
      <c r="G80" s="9" t="s">
        <v>588</v>
      </c>
      <c r="H80" s="9" t="s">
        <v>588</v>
      </c>
      <c r="I80" s="9" t="s">
        <v>587</v>
      </c>
      <c r="J80" s="9" t="s">
        <v>588</v>
      </c>
      <c r="K80" s="9" t="s">
        <v>588</v>
      </c>
      <c r="L80" s="9" t="s">
        <v>248</v>
      </c>
      <c r="M80" s="9" t="s">
        <v>588</v>
      </c>
      <c r="N80" s="8" t="s">
        <v>592</v>
      </c>
    </row>
    <row r="81" customFormat="false" ht="34.5" hidden="false" customHeight="true" outlineLevel="0" collapsed="false">
      <c r="A81" s="7" t="s">
        <v>684</v>
      </c>
      <c r="B81" s="7" t="s">
        <v>290</v>
      </c>
      <c r="C81" s="7" t="n">
        <v>-3.7928</v>
      </c>
      <c r="D81" s="7" t="n">
        <v>102.25</v>
      </c>
      <c r="E81" s="7" t="s">
        <v>578</v>
      </c>
      <c r="F81" s="7" t="s">
        <v>588</v>
      </c>
      <c r="G81" s="7" t="s">
        <v>588</v>
      </c>
      <c r="H81" s="7" t="s">
        <v>587</v>
      </c>
      <c r="I81" s="7" t="s">
        <v>588</v>
      </c>
      <c r="J81" s="7" t="s">
        <v>588</v>
      </c>
      <c r="K81" s="7" t="s">
        <v>588</v>
      </c>
      <c r="L81" s="7" t="s">
        <v>248</v>
      </c>
      <c r="M81" s="7" t="s">
        <v>588</v>
      </c>
      <c r="N81" s="6" t="s">
        <v>592</v>
      </c>
    </row>
    <row r="82" customFormat="false" ht="34.5" hidden="false" customHeight="true" outlineLevel="0" collapsed="false">
      <c r="A82" s="9" t="s">
        <v>685</v>
      </c>
      <c r="B82" s="9" t="s">
        <v>295</v>
      </c>
      <c r="C82" s="9" t="n">
        <v>-5.6333</v>
      </c>
      <c r="D82" s="9" t="n">
        <v>105.25</v>
      </c>
      <c r="E82" s="9" t="s">
        <v>579</v>
      </c>
      <c r="F82" s="9" t="s">
        <v>588</v>
      </c>
      <c r="G82" s="9" t="s">
        <v>588</v>
      </c>
      <c r="H82" s="9" t="s">
        <v>588</v>
      </c>
      <c r="I82" s="9" t="s">
        <v>587</v>
      </c>
      <c r="J82" s="9" t="s">
        <v>588</v>
      </c>
      <c r="K82" s="9" t="s">
        <v>588</v>
      </c>
      <c r="L82" s="9" t="s">
        <v>248</v>
      </c>
      <c r="M82" s="9" t="s">
        <v>588</v>
      </c>
      <c r="N82" s="8" t="s">
        <v>592</v>
      </c>
    </row>
    <row r="83" customFormat="false" ht="34.5" hidden="false" customHeight="true" outlineLevel="0" collapsed="false">
      <c r="A83" s="7" t="s">
        <v>686</v>
      </c>
      <c r="B83" s="7" t="s">
        <v>300</v>
      </c>
      <c r="C83" s="7" t="n">
        <v>-6.1754</v>
      </c>
      <c r="D83" s="7" t="n">
        <v>106.8272</v>
      </c>
      <c r="E83" s="7" t="s">
        <v>597</v>
      </c>
      <c r="F83" s="7" t="s">
        <v>588</v>
      </c>
      <c r="G83" s="7" t="s">
        <v>587</v>
      </c>
      <c r="H83" s="7" t="s">
        <v>587</v>
      </c>
      <c r="I83" s="7" t="s">
        <v>588</v>
      </c>
      <c r="J83" s="7" t="s">
        <v>588</v>
      </c>
      <c r="K83" s="7" t="s">
        <v>588</v>
      </c>
      <c r="L83" s="7" t="s">
        <v>248</v>
      </c>
      <c r="M83" s="7" t="s">
        <v>588</v>
      </c>
      <c r="N83" s="6" t="s">
        <v>592</v>
      </c>
    </row>
    <row r="84" customFormat="false" ht="34.5" hidden="false" customHeight="true" outlineLevel="0" collapsed="false">
      <c r="A84" s="9" t="s">
        <v>687</v>
      </c>
      <c r="B84" s="9" t="s">
        <v>306</v>
      </c>
      <c r="C84" s="9" t="n">
        <v>-7.3214</v>
      </c>
      <c r="D84" s="9" t="n">
        <v>107.7317</v>
      </c>
      <c r="E84" s="9" t="s">
        <v>602</v>
      </c>
      <c r="F84" s="9" t="s">
        <v>587</v>
      </c>
      <c r="G84" s="9" t="s">
        <v>588</v>
      </c>
      <c r="H84" s="9" t="s">
        <v>588</v>
      </c>
      <c r="I84" s="9" t="s">
        <v>588</v>
      </c>
      <c r="J84" s="9" t="s">
        <v>587</v>
      </c>
      <c r="K84" s="9" t="s">
        <v>588</v>
      </c>
      <c r="L84" s="9" t="s">
        <v>248</v>
      </c>
      <c r="M84" s="9" t="s">
        <v>588</v>
      </c>
      <c r="N84" s="8" t="s">
        <v>592</v>
      </c>
    </row>
    <row r="85" customFormat="false" ht="34.5" hidden="false" customHeight="true" outlineLevel="0" collapsed="false">
      <c r="A85" s="7" t="s">
        <v>688</v>
      </c>
      <c r="B85" s="7" t="s">
        <v>306</v>
      </c>
      <c r="C85" s="7" t="n">
        <v>-7.1633</v>
      </c>
      <c r="D85" s="7" t="n">
        <v>107.3706</v>
      </c>
      <c r="E85" s="7" t="s">
        <v>576</v>
      </c>
      <c r="F85" s="7" t="s">
        <v>587</v>
      </c>
      <c r="G85" s="7" t="s">
        <v>588</v>
      </c>
      <c r="H85" s="7" t="s">
        <v>588</v>
      </c>
      <c r="I85" s="7" t="s">
        <v>588</v>
      </c>
      <c r="J85" s="7" t="s">
        <v>588</v>
      </c>
      <c r="K85" s="7" t="s">
        <v>588</v>
      </c>
      <c r="L85" s="7" t="s">
        <v>248</v>
      </c>
      <c r="M85" s="7" t="s">
        <v>588</v>
      </c>
      <c r="N85" s="6" t="s">
        <v>592</v>
      </c>
    </row>
    <row r="86" customFormat="false" ht="34.5" hidden="false" customHeight="true" outlineLevel="0" collapsed="false">
      <c r="A86" s="9" t="s">
        <v>689</v>
      </c>
      <c r="B86" s="9" t="s">
        <v>311</v>
      </c>
      <c r="C86" s="9" t="n">
        <v>-7.2011</v>
      </c>
      <c r="D86" s="9" t="n">
        <v>110.3403</v>
      </c>
      <c r="E86" s="9" t="s">
        <v>616</v>
      </c>
      <c r="F86" s="9" t="s">
        <v>588</v>
      </c>
      <c r="G86" s="9" t="s">
        <v>588</v>
      </c>
      <c r="H86" s="9" t="s">
        <v>587</v>
      </c>
      <c r="I86" s="9" t="s">
        <v>588</v>
      </c>
      <c r="J86" s="9" t="s">
        <v>587</v>
      </c>
      <c r="K86" s="9" t="s">
        <v>587</v>
      </c>
      <c r="L86" s="9" t="s">
        <v>248</v>
      </c>
      <c r="M86" s="9" t="s">
        <v>588</v>
      </c>
      <c r="N86" s="8" t="s">
        <v>592</v>
      </c>
    </row>
    <row r="87" customFormat="false" ht="34.5" hidden="false" customHeight="true" outlineLevel="0" collapsed="false">
      <c r="A87" s="7" t="s">
        <v>690</v>
      </c>
      <c r="B87" s="7" t="s">
        <v>317</v>
      </c>
      <c r="C87" s="7" t="n">
        <v>-7.8053</v>
      </c>
      <c r="D87" s="7" t="n">
        <v>110.3644</v>
      </c>
      <c r="E87" s="7" t="s">
        <v>578</v>
      </c>
      <c r="F87" s="7" t="s">
        <v>588</v>
      </c>
      <c r="G87" s="7" t="s">
        <v>588</v>
      </c>
      <c r="H87" s="7" t="s">
        <v>587</v>
      </c>
      <c r="I87" s="7" t="s">
        <v>588</v>
      </c>
      <c r="J87" s="7" t="s">
        <v>588</v>
      </c>
      <c r="K87" s="7" t="s">
        <v>588</v>
      </c>
      <c r="L87" s="7" t="s">
        <v>248</v>
      </c>
      <c r="M87" s="7" t="s">
        <v>588</v>
      </c>
      <c r="N87" s="6" t="s">
        <v>592</v>
      </c>
    </row>
    <row r="88" customFormat="false" ht="34.5" hidden="false" customHeight="true" outlineLevel="0" collapsed="false">
      <c r="A88" s="9" t="s">
        <v>691</v>
      </c>
      <c r="B88" s="9" t="s">
        <v>317</v>
      </c>
      <c r="C88" s="9" t="n">
        <v>-7.9214</v>
      </c>
      <c r="D88" s="9" t="n">
        <v>110.6394</v>
      </c>
      <c r="E88" s="9" t="s">
        <v>576</v>
      </c>
      <c r="F88" s="9" t="s">
        <v>587</v>
      </c>
      <c r="G88" s="9" t="s">
        <v>588</v>
      </c>
      <c r="H88" s="9" t="s">
        <v>588</v>
      </c>
      <c r="I88" s="9" t="s">
        <v>588</v>
      </c>
      <c r="J88" s="9" t="s">
        <v>588</v>
      </c>
      <c r="K88" s="9" t="s">
        <v>588</v>
      </c>
      <c r="L88" s="9" t="s">
        <v>248</v>
      </c>
      <c r="M88" s="9" t="s">
        <v>588</v>
      </c>
      <c r="N88" s="8" t="s">
        <v>592</v>
      </c>
    </row>
    <row r="89" customFormat="false" ht="34.5" hidden="false" customHeight="true" outlineLevel="0" collapsed="false">
      <c r="A89" s="7" t="s">
        <v>692</v>
      </c>
      <c r="B89" s="7" t="s">
        <v>322</v>
      </c>
      <c r="C89" s="7" t="n">
        <v>-8.4472</v>
      </c>
      <c r="D89" s="7" t="n">
        <v>112.6789</v>
      </c>
      <c r="E89" s="7" t="s">
        <v>628</v>
      </c>
      <c r="F89" s="7" t="s">
        <v>587</v>
      </c>
      <c r="G89" s="7" t="s">
        <v>588</v>
      </c>
      <c r="H89" s="7" t="s">
        <v>588</v>
      </c>
      <c r="I89" s="7" t="s">
        <v>587</v>
      </c>
      <c r="J89" s="7" t="s">
        <v>588</v>
      </c>
      <c r="K89" s="7" t="s">
        <v>588</v>
      </c>
      <c r="L89" s="7" t="s">
        <v>248</v>
      </c>
      <c r="M89" s="7" t="s">
        <v>588</v>
      </c>
      <c r="N89" s="6" t="s">
        <v>592</v>
      </c>
    </row>
    <row r="90" customFormat="false" ht="34.5" hidden="false" customHeight="true" outlineLevel="0" collapsed="false">
      <c r="A90" s="9" t="s">
        <v>693</v>
      </c>
      <c r="B90" s="9" t="s">
        <v>322</v>
      </c>
      <c r="C90" s="9" t="n">
        <v>-7.9306</v>
      </c>
      <c r="D90" s="9" t="n">
        <v>112.3083</v>
      </c>
      <c r="E90" s="9" t="s">
        <v>602</v>
      </c>
      <c r="F90" s="9" t="s">
        <v>587</v>
      </c>
      <c r="G90" s="9" t="s">
        <v>588</v>
      </c>
      <c r="H90" s="9" t="s">
        <v>588</v>
      </c>
      <c r="I90" s="9" t="s">
        <v>588</v>
      </c>
      <c r="J90" s="9" t="s">
        <v>587</v>
      </c>
      <c r="K90" s="9" t="s">
        <v>588</v>
      </c>
      <c r="L90" s="9" t="s">
        <v>248</v>
      </c>
      <c r="M90" s="9" t="s">
        <v>588</v>
      </c>
      <c r="N90" s="8" t="s">
        <v>592</v>
      </c>
    </row>
    <row r="91" customFormat="false" ht="34.5" hidden="false" customHeight="true" outlineLevel="0" collapsed="false">
      <c r="A91" s="7" t="s">
        <v>694</v>
      </c>
      <c r="B91" s="7" t="s">
        <v>328</v>
      </c>
      <c r="C91" s="7" t="n">
        <v>-6.5333</v>
      </c>
      <c r="D91" s="7" t="n">
        <v>106.3833</v>
      </c>
      <c r="E91" s="7" t="s">
        <v>578</v>
      </c>
      <c r="F91" s="7" t="s">
        <v>588</v>
      </c>
      <c r="G91" s="7" t="s">
        <v>588</v>
      </c>
      <c r="H91" s="7" t="s">
        <v>587</v>
      </c>
      <c r="I91" s="7" t="s">
        <v>588</v>
      </c>
      <c r="J91" s="7" t="s">
        <v>588</v>
      </c>
      <c r="K91" s="7" t="s">
        <v>588</v>
      </c>
      <c r="L91" s="7" t="s">
        <v>248</v>
      </c>
      <c r="M91" s="7" t="s">
        <v>588</v>
      </c>
      <c r="N91" s="6" t="s">
        <v>592</v>
      </c>
    </row>
    <row r="92" customFormat="false" ht="34.5" hidden="false" customHeight="true" outlineLevel="0" collapsed="false">
      <c r="A92" s="9" t="s">
        <v>695</v>
      </c>
      <c r="B92" s="9" t="s">
        <v>332</v>
      </c>
      <c r="C92" s="9" t="n">
        <v>-8.6212</v>
      </c>
      <c r="D92" s="9" t="n">
        <v>115.0868</v>
      </c>
      <c r="E92" s="9" t="s">
        <v>696</v>
      </c>
      <c r="F92" s="9" t="s">
        <v>588</v>
      </c>
      <c r="G92" s="9" t="s">
        <v>588</v>
      </c>
      <c r="H92" s="9" t="s">
        <v>587</v>
      </c>
      <c r="I92" s="9" t="s">
        <v>587</v>
      </c>
      <c r="J92" s="9" t="s">
        <v>588</v>
      </c>
      <c r="K92" s="9" t="s">
        <v>587</v>
      </c>
      <c r="L92" s="9" t="s">
        <v>248</v>
      </c>
      <c r="M92" s="9" t="s">
        <v>588</v>
      </c>
      <c r="N92" s="8" t="s">
        <v>592</v>
      </c>
    </row>
    <row r="93" customFormat="false" ht="34.5" hidden="false" customHeight="true" outlineLevel="0" collapsed="false">
      <c r="A93" s="7" t="s">
        <v>697</v>
      </c>
      <c r="B93" s="7" t="s">
        <v>332</v>
      </c>
      <c r="C93" s="7" t="n">
        <v>-8.8291</v>
      </c>
      <c r="D93" s="7" t="n">
        <v>115.0849</v>
      </c>
      <c r="E93" s="7" t="s">
        <v>696</v>
      </c>
      <c r="F93" s="7" t="s">
        <v>588</v>
      </c>
      <c r="G93" s="7" t="s">
        <v>588</v>
      </c>
      <c r="H93" s="7" t="s">
        <v>587</v>
      </c>
      <c r="I93" s="7" t="s">
        <v>587</v>
      </c>
      <c r="J93" s="7" t="s">
        <v>588</v>
      </c>
      <c r="K93" s="7" t="s">
        <v>587</v>
      </c>
      <c r="L93" s="7" t="s">
        <v>248</v>
      </c>
      <c r="M93" s="7" t="s">
        <v>588</v>
      </c>
      <c r="N93" s="6" t="s">
        <v>592</v>
      </c>
    </row>
    <row r="94" customFormat="false" ht="34.5" hidden="false" customHeight="true" outlineLevel="0" collapsed="false">
      <c r="A94" s="9" t="s">
        <v>698</v>
      </c>
      <c r="B94" s="9" t="s">
        <v>338</v>
      </c>
      <c r="C94" s="9" t="n">
        <v>-8.2</v>
      </c>
      <c r="D94" s="9" t="n">
        <v>117.5667</v>
      </c>
      <c r="E94" s="9" t="s">
        <v>579</v>
      </c>
      <c r="F94" s="9" t="s">
        <v>588</v>
      </c>
      <c r="G94" s="9" t="s">
        <v>588</v>
      </c>
      <c r="H94" s="9" t="s">
        <v>588</v>
      </c>
      <c r="I94" s="9" t="s">
        <v>587</v>
      </c>
      <c r="J94" s="9" t="s">
        <v>588</v>
      </c>
      <c r="K94" s="9" t="s">
        <v>588</v>
      </c>
      <c r="L94" s="9" t="s">
        <v>248</v>
      </c>
      <c r="M94" s="9" t="s">
        <v>588</v>
      </c>
      <c r="N94" s="8" t="s">
        <v>592</v>
      </c>
    </row>
    <row r="95" customFormat="false" ht="34.5" hidden="false" customHeight="true" outlineLevel="0" collapsed="false">
      <c r="A95" s="7" t="s">
        <v>699</v>
      </c>
      <c r="B95" s="7" t="s">
        <v>344</v>
      </c>
      <c r="C95" s="7" t="n">
        <v>-8.2833</v>
      </c>
      <c r="D95" s="7" t="n">
        <v>124.75</v>
      </c>
      <c r="E95" s="7" t="s">
        <v>657</v>
      </c>
      <c r="F95" s="7" t="s">
        <v>588</v>
      </c>
      <c r="G95" s="7" t="s">
        <v>588</v>
      </c>
      <c r="H95" s="7" t="s">
        <v>587</v>
      </c>
      <c r="I95" s="7" t="s">
        <v>587</v>
      </c>
      <c r="J95" s="7" t="s">
        <v>588</v>
      </c>
      <c r="K95" s="7" t="s">
        <v>588</v>
      </c>
      <c r="L95" s="7" t="s">
        <v>248</v>
      </c>
      <c r="M95" s="7" t="s">
        <v>588</v>
      </c>
      <c r="N95" s="6" t="s">
        <v>592</v>
      </c>
    </row>
    <row r="96" customFormat="false" ht="34.5" hidden="false" customHeight="true" outlineLevel="0" collapsed="false">
      <c r="A96" s="9" t="s">
        <v>700</v>
      </c>
      <c r="B96" s="9" t="s">
        <v>350</v>
      </c>
      <c r="C96" s="9" t="n">
        <v>-0.0333</v>
      </c>
      <c r="D96" s="9" t="n">
        <v>109.3333</v>
      </c>
      <c r="E96" s="9" t="s">
        <v>578</v>
      </c>
      <c r="F96" s="9" t="s">
        <v>588</v>
      </c>
      <c r="G96" s="9" t="s">
        <v>588</v>
      </c>
      <c r="H96" s="9" t="s">
        <v>587</v>
      </c>
      <c r="I96" s="9" t="s">
        <v>588</v>
      </c>
      <c r="J96" s="9" t="s">
        <v>588</v>
      </c>
      <c r="K96" s="9" t="s">
        <v>588</v>
      </c>
      <c r="L96" s="9" t="s">
        <v>248</v>
      </c>
      <c r="M96" s="9" t="s">
        <v>588</v>
      </c>
      <c r="N96" s="8" t="s">
        <v>592</v>
      </c>
    </row>
    <row r="97" customFormat="false" ht="34.5" hidden="false" customHeight="true" outlineLevel="0" collapsed="false">
      <c r="A97" s="7" t="s">
        <v>701</v>
      </c>
      <c r="B97" s="7" t="s">
        <v>361</v>
      </c>
      <c r="C97" s="7" t="n">
        <v>-2.6667</v>
      </c>
      <c r="D97" s="7" t="n">
        <v>115.3333</v>
      </c>
      <c r="E97" s="7" t="s">
        <v>602</v>
      </c>
      <c r="F97" s="7" t="s">
        <v>587</v>
      </c>
      <c r="G97" s="7" t="s">
        <v>588</v>
      </c>
      <c r="H97" s="7" t="s">
        <v>588</v>
      </c>
      <c r="I97" s="7" t="s">
        <v>588</v>
      </c>
      <c r="J97" s="7" t="s">
        <v>587</v>
      </c>
      <c r="K97" s="7" t="s">
        <v>588</v>
      </c>
      <c r="L97" s="7" t="s">
        <v>248</v>
      </c>
      <c r="M97" s="7" t="s">
        <v>588</v>
      </c>
      <c r="N97" s="6" t="s">
        <v>592</v>
      </c>
    </row>
    <row r="98" customFormat="false" ht="34.5" hidden="false" customHeight="true" outlineLevel="0" collapsed="false">
      <c r="A98" s="9" t="s">
        <v>702</v>
      </c>
      <c r="B98" s="9" t="s">
        <v>366</v>
      </c>
      <c r="C98" s="9" t="n">
        <v>-1.0167</v>
      </c>
      <c r="D98" s="9" t="n">
        <v>116.9167</v>
      </c>
      <c r="E98" s="9" t="s">
        <v>576</v>
      </c>
      <c r="F98" s="9" t="s">
        <v>587</v>
      </c>
      <c r="G98" s="9" t="s">
        <v>588</v>
      </c>
      <c r="H98" s="9" t="s">
        <v>588</v>
      </c>
      <c r="I98" s="9" t="s">
        <v>588</v>
      </c>
      <c r="J98" s="9" t="s">
        <v>588</v>
      </c>
      <c r="K98" s="9" t="s">
        <v>588</v>
      </c>
      <c r="L98" s="9" t="s">
        <v>248</v>
      </c>
      <c r="M98" s="9" t="s">
        <v>588</v>
      </c>
      <c r="N98" s="8" t="s">
        <v>592</v>
      </c>
    </row>
    <row r="99" customFormat="false" ht="34.5" hidden="false" customHeight="true" outlineLevel="0" collapsed="false">
      <c r="A99" s="7" t="s">
        <v>703</v>
      </c>
      <c r="B99" s="7" t="s">
        <v>371</v>
      </c>
      <c r="C99" s="7" t="n">
        <v>4.1333</v>
      </c>
      <c r="D99" s="7" t="n">
        <v>117.9167</v>
      </c>
      <c r="E99" s="7" t="s">
        <v>579</v>
      </c>
      <c r="F99" s="7" t="s">
        <v>588</v>
      </c>
      <c r="G99" s="7" t="s">
        <v>588</v>
      </c>
      <c r="H99" s="7" t="s">
        <v>588</v>
      </c>
      <c r="I99" s="7" t="s">
        <v>587</v>
      </c>
      <c r="J99" s="7" t="s">
        <v>588</v>
      </c>
      <c r="K99" s="7" t="s">
        <v>588</v>
      </c>
      <c r="L99" s="7" t="s">
        <v>248</v>
      </c>
      <c r="M99" s="7" t="s">
        <v>588</v>
      </c>
      <c r="N99" s="6" t="s">
        <v>592</v>
      </c>
    </row>
    <row r="100" customFormat="false" ht="34.5" hidden="false" customHeight="true" outlineLevel="0" collapsed="false">
      <c r="A100" s="9" t="s">
        <v>704</v>
      </c>
      <c r="B100" s="9" t="s">
        <v>371</v>
      </c>
      <c r="C100" s="9" t="n">
        <v>3.9333</v>
      </c>
      <c r="D100" s="9" t="n">
        <v>115.6167</v>
      </c>
      <c r="E100" s="9" t="s">
        <v>705</v>
      </c>
      <c r="F100" s="9" t="s">
        <v>587</v>
      </c>
      <c r="G100" s="9" t="s">
        <v>588</v>
      </c>
      <c r="H100" s="9" t="s">
        <v>587</v>
      </c>
      <c r="I100" s="9" t="s">
        <v>588</v>
      </c>
      <c r="J100" s="9" t="s">
        <v>588</v>
      </c>
      <c r="K100" s="9" t="s">
        <v>588</v>
      </c>
      <c r="L100" s="9" t="s">
        <v>248</v>
      </c>
      <c r="M100" s="9" t="s">
        <v>588</v>
      </c>
      <c r="N100" s="8" t="s">
        <v>592</v>
      </c>
    </row>
    <row r="101" customFormat="false" ht="34.5" hidden="false" customHeight="true" outlineLevel="0" collapsed="false">
      <c r="A101" s="7" t="s">
        <v>706</v>
      </c>
      <c r="B101" s="7" t="s">
        <v>376</v>
      </c>
      <c r="C101" s="7" t="n">
        <v>1.2833</v>
      </c>
      <c r="D101" s="7" t="n">
        <v>124.9167</v>
      </c>
      <c r="E101" s="7" t="s">
        <v>586</v>
      </c>
      <c r="F101" s="7" t="s">
        <v>587</v>
      </c>
      <c r="G101" s="7" t="s">
        <v>588</v>
      </c>
      <c r="H101" s="7" t="s">
        <v>588</v>
      </c>
      <c r="I101" s="7" t="s">
        <v>588</v>
      </c>
      <c r="J101" s="7" t="s">
        <v>588</v>
      </c>
      <c r="K101" s="7" t="s">
        <v>588</v>
      </c>
      <c r="L101" s="7" t="s">
        <v>248</v>
      </c>
      <c r="M101" s="7" t="s">
        <v>588</v>
      </c>
      <c r="N101" s="6" t="s">
        <v>592</v>
      </c>
    </row>
    <row r="102" customFormat="false" ht="34.5" hidden="false" customHeight="true" outlineLevel="0" collapsed="false">
      <c r="A102" s="9" t="s">
        <v>707</v>
      </c>
      <c r="B102" s="9" t="s">
        <v>383</v>
      </c>
      <c r="C102" s="9" t="n">
        <v>-1.9167</v>
      </c>
      <c r="D102" s="9" t="n">
        <v>120.7667</v>
      </c>
      <c r="E102" s="9" t="s">
        <v>586</v>
      </c>
      <c r="F102" s="9" t="s">
        <v>587</v>
      </c>
      <c r="G102" s="9" t="s">
        <v>588</v>
      </c>
      <c r="H102" s="9" t="s">
        <v>588</v>
      </c>
      <c r="I102" s="9" t="s">
        <v>588</v>
      </c>
      <c r="J102" s="9" t="s">
        <v>588</v>
      </c>
      <c r="K102" s="9" t="s">
        <v>588</v>
      </c>
      <c r="L102" s="9" t="s">
        <v>248</v>
      </c>
      <c r="M102" s="9" t="s">
        <v>588</v>
      </c>
      <c r="N102" s="8" t="s">
        <v>592</v>
      </c>
    </row>
    <row r="103" customFormat="false" ht="34.5" hidden="false" customHeight="true" outlineLevel="0" collapsed="false">
      <c r="A103" s="7" t="s">
        <v>708</v>
      </c>
      <c r="B103" s="7" t="s">
        <v>388</v>
      </c>
      <c r="C103" s="7" t="n">
        <v>-5.1354</v>
      </c>
      <c r="D103" s="7" t="n">
        <v>119.4062</v>
      </c>
      <c r="E103" s="7" t="s">
        <v>709</v>
      </c>
      <c r="F103" s="7" t="s">
        <v>588</v>
      </c>
      <c r="G103" s="7" t="s">
        <v>587</v>
      </c>
      <c r="H103" s="7" t="s">
        <v>588</v>
      </c>
      <c r="I103" s="7" t="s">
        <v>587</v>
      </c>
      <c r="J103" s="7" t="s">
        <v>588</v>
      </c>
      <c r="K103" s="7" t="s">
        <v>588</v>
      </c>
      <c r="L103" s="7" t="s">
        <v>248</v>
      </c>
      <c r="M103" s="7" t="s">
        <v>588</v>
      </c>
      <c r="N103" s="6" t="s">
        <v>592</v>
      </c>
    </row>
    <row r="104" customFormat="false" ht="34.5" hidden="false" customHeight="true" outlineLevel="0" collapsed="false">
      <c r="A104" s="9" t="s">
        <v>710</v>
      </c>
      <c r="B104" s="9" t="s">
        <v>393</v>
      </c>
      <c r="C104" s="9" t="n">
        <v>-4.05</v>
      </c>
      <c r="D104" s="9" t="n">
        <v>123.1</v>
      </c>
      <c r="E104" s="9" t="s">
        <v>579</v>
      </c>
      <c r="F104" s="9" t="s">
        <v>588</v>
      </c>
      <c r="G104" s="9" t="s">
        <v>588</v>
      </c>
      <c r="H104" s="9" t="s">
        <v>588</v>
      </c>
      <c r="I104" s="9" t="s">
        <v>587</v>
      </c>
      <c r="J104" s="9" t="s">
        <v>588</v>
      </c>
      <c r="K104" s="9" t="s">
        <v>588</v>
      </c>
      <c r="L104" s="9" t="s">
        <v>248</v>
      </c>
      <c r="M104" s="9" t="s">
        <v>588</v>
      </c>
      <c r="N104" s="8" t="s">
        <v>592</v>
      </c>
    </row>
    <row r="105" customFormat="false" ht="34.5" hidden="false" customHeight="true" outlineLevel="0" collapsed="false">
      <c r="A105" s="7" t="s">
        <v>711</v>
      </c>
      <c r="B105" s="7" t="s">
        <v>399</v>
      </c>
      <c r="C105" s="7" t="n">
        <v>0.9333</v>
      </c>
      <c r="D105" s="7" t="n">
        <v>122.1667</v>
      </c>
      <c r="E105" s="7" t="s">
        <v>579</v>
      </c>
      <c r="F105" s="7" t="s">
        <v>588</v>
      </c>
      <c r="G105" s="7" t="s">
        <v>588</v>
      </c>
      <c r="H105" s="7" t="s">
        <v>588</v>
      </c>
      <c r="I105" s="7" t="s">
        <v>587</v>
      </c>
      <c r="J105" s="7" t="s">
        <v>588</v>
      </c>
      <c r="K105" s="7" t="s">
        <v>588</v>
      </c>
      <c r="L105" s="7" t="s">
        <v>248</v>
      </c>
      <c r="M105" s="7" t="s">
        <v>588</v>
      </c>
      <c r="N105" s="6" t="s">
        <v>592</v>
      </c>
    </row>
    <row r="106" customFormat="false" ht="34.5" hidden="false" customHeight="true" outlineLevel="0" collapsed="false">
      <c r="A106" s="9" t="s">
        <v>712</v>
      </c>
      <c r="B106" s="9" t="s">
        <v>409</v>
      </c>
      <c r="C106" s="9" t="n">
        <v>-3.1167</v>
      </c>
      <c r="D106" s="9" t="n">
        <v>128.9167</v>
      </c>
      <c r="E106" s="9" t="s">
        <v>579</v>
      </c>
      <c r="F106" s="9" t="s">
        <v>588</v>
      </c>
      <c r="G106" s="9" t="s">
        <v>588</v>
      </c>
      <c r="H106" s="9" t="s">
        <v>588</v>
      </c>
      <c r="I106" s="9" t="s">
        <v>587</v>
      </c>
      <c r="J106" s="9" t="s">
        <v>588</v>
      </c>
      <c r="K106" s="9" t="s">
        <v>588</v>
      </c>
      <c r="L106" s="9" t="s">
        <v>248</v>
      </c>
      <c r="M106" s="9" t="s">
        <v>588</v>
      </c>
      <c r="N106" s="8" t="s">
        <v>592</v>
      </c>
    </row>
    <row r="107" customFormat="false" ht="34.5" hidden="false" customHeight="true" outlineLevel="0" collapsed="false">
      <c r="A107" s="7" t="s">
        <v>713</v>
      </c>
      <c r="B107" s="7" t="s">
        <v>414</v>
      </c>
      <c r="C107" s="7" t="n">
        <v>0.7833</v>
      </c>
      <c r="D107" s="7" t="n">
        <v>127.3833</v>
      </c>
      <c r="E107" s="7" t="s">
        <v>705</v>
      </c>
      <c r="F107" s="7" t="s">
        <v>587</v>
      </c>
      <c r="G107" s="7" t="s">
        <v>588</v>
      </c>
      <c r="H107" s="7" t="s">
        <v>587</v>
      </c>
      <c r="I107" s="7" t="s">
        <v>588</v>
      </c>
      <c r="J107" s="7" t="s">
        <v>587</v>
      </c>
      <c r="K107" s="7" t="s">
        <v>588</v>
      </c>
      <c r="L107" s="7" t="s">
        <v>248</v>
      </c>
      <c r="M107" s="7" t="s">
        <v>588</v>
      </c>
      <c r="N107" s="6" t="s">
        <v>592</v>
      </c>
    </row>
    <row r="108" customFormat="false" ht="34.5" hidden="false" customHeight="true" outlineLevel="0" collapsed="false">
      <c r="A108" s="9" t="s">
        <v>714</v>
      </c>
      <c r="B108" s="9" t="s">
        <v>436</v>
      </c>
      <c r="C108" s="9" t="n">
        <v>-4.0833</v>
      </c>
      <c r="D108" s="9" t="n">
        <v>137.1833</v>
      </c>
      <c r="E108" s="9" t="s">
        <v>602</v>
      </c>
      <c r="F108" s="9" t="s">
        <v>587</v>
      </c>
      <c r="G108" s="9" t="s">
        <v>588</v>
      </c>
      <c r="H108" s="9" t="s">
        <v>588</v>
      </c>
      <c r="I108" s="9" t="s">
        <v>588</v>
      </c>
      <c r="J108" s="9" t="s">
        <v>587</v>
      </c>
      <c r="K108" s="9" t="s">
        <v>588</v>
      </c>
      <c r="L108" s="9" t="s">
        <v>248</v>
      </c>
      <c r="M108" s="9" t="s">
        <v>588</v>
      </c>
      <c r="N108" s="8" t="s">
        <v>592</v>
      </c>
    </row>
    <row r="109" customFormat="false" ht="34.5" hidden="false" customHeight="true" outlineLevel="0" collapsed="false">
      <c r="A109" s="7" t="s">
        <v>715</v>
      </c>
      <c r="B109" s="7" t="s">
        <v>425</v>
      </c>
      <c r="C109" s="7" t="n">
        <v>-1.1167</v>
      </c>
      <c r="D109" s="7" t="n">
        <v>133.9167</v>
      </c>
      <c r="E109" s="7" t="s">
        <v>602</v>
      </c>
      <c r="F109" s="7" t="s">
        <v>587</v>
      </c>
      <c r="G109" s="7" t="s">
        <v>588</v>
      </c>
      <c r="H109" s="7" t="s">
        <v>588</v>
      </c>
      <c r="I109" s="7" t="s">
        <v>588</v>
      </c>
      <c r="J109" s="7" t="s">
        <v>587</v>
      </c>
      <c r="K109" s="7" t="s">
        <v>588</v>
      </c>
      <c r="L109" s="7" t="s">
        <v>248</v>
      </c>
      <c r="M109" s="7" t="s">
        <v>588</v>
      </c>
      <c r="N109" s="6" t="s">
        <v>592</v>
      </c>
    </row>
    <row r="110" customFormat="false" ht="34.5" hidden="false" customHeight="true" outlineLevel="0" collapsed="false">
      <c r="A110" s="9" t="s">
        <v>716</v>
      </c>
      <c r="B110" s="9" t="s">
        <v>436</v>
      </c>
      <c r="C110" s="9" t="n">
        <v>-3.9</v>
      </c>
      <c r="D110" s="9" t="n">
        <v>136.3167</v>
      </c>
      <c r="E110" s="9" t="s">
        <v>586</v>
      </c>
      <c r="F110" s="9" t="s">
        <v>587</v>
      </c>
      <c r="G110" s="9" t="s">
        <v>588</v>
      </c>
      <c r="H110" s="9" t="s">
        <v>588</v>
      </c>
      <c r="I110" s="9" t="s">
        <v>588</v>
      </c>
      <c r="J110" s="9" t="s">
        <v>588</v>
      </c>
      <c r="K110" s="9" t="s">
        <v>588</v>
      </c>
      <c r="L110" s="9" t="s">
        <v>248</v>
      </c>
      <c r="M110" s="9" t="s">
        <v>588</v>
      </c>
      <c r="N110" s="8" t="s">
        <v>592</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18"/>
    <col collapsed="false" customWidth="true" hidden="false" outlineLevel="0" max="5" min="4" style="1" width="26"/>
    <col collapsed="false" customWidth="true" hidden="false" outlineLevel="0" max="6" min="6" style="1" width="34"/>
    <col collapsed="false" customWidth="true" hidden="false" outlineLevel="0" max="7" min="7" style="1" width="46"/>
  </cols>
  <sheetData>
    <row r="1" customFormat="false" ht="24" hidden="false" customHeight="true" outlineLevel="0" collapsed="false">
      <c r="A1" s="2" t="s">
        <v>717</v>
      </c>
      <c r="B1" s="2"/>
      <c r="C1" s="2"/>
      <c r="D1" s="2"/>
      <c r="E1" s="2"/>
      <c r="F1" s="2"/>
      <c r="G1" s="2"/>
    </row>
    <row r="2" customFormat="false" ht="27.75" hidden="false" customHeight="true" outlineLevel="0" collapsed="false">
      <c r="A2" s="4" t="s">
        <v>718</v>
      </c>
      <c r="B2" s="4"/>
      <c r="C2" s="4"/>
      <c r="D2" s="4"/>
      <c r="E2" s="4"/>
      <c r="F2" s="4"/>
      <c r="G2" s="4"/>
    </row>
    <row r="4" customFormat="false" ht="27.75" hidden="false" customHeight="true" outlineLevel="0" collapsed="false">
      <c r="A4" s="5" t="s">
        <v>719</v>
      </c>
      <c r="B4" s="5" t="s">
        <v>720</v>
      </c>
      <c r="C4" s="5" t="s">
        <v>721</v>
      </c>
      <c r="D4" s="5" t="s">
        <v>722</v>
      </c>
      <c r="E4" s="5" t="s">
        <v>723</v>
      </c>
      <c r="F4" s="5" t="s">
        <v>19</v>
      </c>
      <c r="G4" s="5" t="s">
        <v>458</v>
      </c>
    </row>
    <row r="5" customFormat="false" ht="23.25" hidden="false" customHeight="true" outlineLevel="0" collapsed="false">
      <c r="A5" s="7" t="s">
        <v>724</v>
      </c>
      <c r="B5" s="7" t="s">
        <v>725</v>
      </c>
      <c r="C5" s="7" t="s">
        <v>726</v>
      </c>
      <c r="D5" s="6" t="s">
        <v>727</v>
      </c>
      <c r="E5" s="6" t="s">
        <v>728</v>
      </c>
      <c r="F5" s="6" t="s">
        <v>729</v>
      </c>
      <c r="G5" s="6" t="s">
        <v>730</v>
      </c>
    </row>
    <row r="6" customFormat="false" ht="34.5" hidden="false" customHeight="true" outlineLevel="0" collapsed="false">
      <c r="A6" s="9" t="s">
        <v>731</v>
      </c>
      <c r="B6" s="9" t="s">
        <v>732</v>
      </c>
      <c r="C6" s="9" t="s">
        <v>733</v>
      </c>
      <c r="D6" s="8" t="s">
        <v>734</v>
      </c>
      <c r="E6" s="8" t="s">
        <v>734</v>
      </c>
      <c r="F6" s="8" t="s">
        <v>735</v>
      </c>
      <c r="G6" s="8" t="s">
        <v>736</v>
      </c>
    </row>
    <row r="7" customFormat="false" ht="23.25" hidden="false" customHeight="true" outlineLevel="0" collapsed="false">
      <c r="A7" s="7" t="s">
        <v>737</v>
      </c>
      <c r="B7" s="7" t="s">
        <v>738</v>
      </c>
      <c r="C7" s="7" t="s">
        <v>739</v>
      </c>
      <c r="D7" s="6" t="s">
        <v>734</v>
      </c>
      <c r="E7" s="6" t="s">
        <v>734</v>
      </c>
      <c r="F7" s="6" t="s">
        <v>740</v>
      </c>
      <c r="G7" s="6" t="s">
        <v>741</v>
      </c>
    </row>
    <row r="8" customFormat="false" ht="23.25" hidden="false" customHeight="true" outlineLevel="0" collapsed="false">
      <c r="A8" s="9" t="s">
        <v>742</v>
      </c>
      <c r="B8" s="9" t="s">
        <v>734</v>
      </c>
      <c r="C8" s="9" t="s">
        <v>734</v>
      </c>
      <c r="D8" s="8" t="s">
        <v>734</v>
      </c>
      <c r="E8" s="8" t="s">
        <v>743</v>
      </c>
      <c r="F8" s="8" t="s">
        <v>744</v>
      </c>
      <c r="G8" s="8" t="s">
        <v>745</v>
      </c>
    </row>
    <row r="9" customFormat="false" ht="23.25" hidden="false" customHeight="true" outlineLevel="0" collapsed="false">
      <c r="A9" s="7" t="s">
        <v>746</v>
      </c>
      <c r="B9" s="7" t="s">
        <v>747</v>
      </c>
      <c r="C9" s="7" t="s">
        <v>748</v>
      </c>
      <c r="D9" s="6" t="s">
        <v>749</v>
      </c>
      <c r="E9" s="6" t="s">
        <v>734</v>
      </c>
      <c r="F9" s="6" t="s">
        <v>126</v>
      </c>
      <c r="G9" s="6" t="s">
        <v>750</v>
      </c>
    </row>
    <row r="10" customFormat="false" ht="23.25" hidden="false" customHeight="true" outlineLevel="0" collapsed="false">
      <c r="A10" s="9" t="s">
        <v>751</v>
      </c>
      <c r="B10" s="9" t="s">
        <v>752</v>
      </c>
      <c r="C10" s="9" t="s">
        <v>753</v>
      </c>
      <c r="D10" s="8" t="s">
        <v>754</v>
      </c>
      <c r="E10" s="8" t="s">
        <v>755</v>
      </c>
      <c r="F10" s="8" t="s">
        <v>756</v>
      </c>
      <c r="G10" s="8" t="s">
        <v>757</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34"/>
    <col collapsed="false" customWidth="true" hidden="false" outlineLevel="0" max="3" min="3" style="1" width="16"/>
    <col collapsed="false" customWidth="true" hidden="false" outlineLevel="0" max="4" min="4" style="1" width="34"/>
    <col collapsed="false" customWidth="true" hidden="false" outlineLevel="0" max="5" min="5" style="1" width="50"/>
  </cols>
  <sheetData>
    <row r="1" customFormat="false" ht="24" hidden="false" customHeight="true" outlineLevel="0" collapsed="false">
      <c r="A1" s="2" t="s">
        <v>758</v>
      </c>
      <c r="B1" s="2"/>
      <c r="C1" s="2"/>
      <c r="D1" s="2"/>
      <c r="E1" s="2"/>
    </row>
    <row r="2" customFormat="false" ht="27.75" hidden="false" customHeight="true" outlineLevel="0" collapsed="false">
      <c r="A2" s="4" t="s">
        <v>759</v>
      </c>
      <c r="B2" s="4"/>
      <c r="C2" s="4"/>
      <c r="D2" s="4"/>
      <c r="E2" s="4"/>
    </row>
    <row r="4" customFormat="false" ht="27.75" hidden="false" customHeight="true" outlineLevel="0" collapsed="false">
      <c r="A4" s="5" t="s">
        <v>453</v>
      </c>
      <c r="B4" s="5" t="s">
        <v>454</v>
      </c>
      <c r="C4" s="5" t="s">
        <v>719</v>
      </c>
      <c r="D4" s="5" t="s">
        <v>19</v>
      </c>
      <c r="E4" s="5" t="s">
        <v>458</v>
      </c>
    </row>
    <row r="5" customFormat="false" ht="15" hidden="false" customHeight="true" outlineLevel="0" collapsed="false">
      <c r="A5" s="7" t="s">
        <v>760</v>
      </c>
      <c r="B5" s="6" t="s">
        <v>761</v>
      </c>
      <c r="C5" s="7" t="s">
        <v>762</v>
      </c>
      <c r="D5" s="6" t="s">
        <v>763</v>
      </c>
      <c r="E5" s="6" t="s">
        <v>764</v>
      </c>
    </row>
    <row r="6" customFormat="false" ht="34.5" hidden="false" customHeight="true" outlineLevel="0" collapsed="false">
      <c r="A6" s="9" t="s">
        <v>765</v>
      </c>
      <c r="B6" s="8" t="s">
        <v>766</v>
      </c>
      <c r="C6" s="9" t="s">
        <v>767</v>
      </c>
      <c r="D6" s="8" t="s">
        <v>763</v>
      </c>
      <c r="E6" s="8" t="s">
        <v>768</v>
      </c>
    </row>
    <row r="7" customFormat="false" ht="15" hidden="false" customHeight="true" outlineLevel="0" collapsed="false">
      <c r="A7" s="7" t="s">
        <v>769</v>
      </c>
      <c r="B7" s="6" t="s">
        <v>770</v>
      </c>
      <c r="C7" s="7" t="s">
        <v>767</v>
      </c>
      <c r="D7" s="6" t="s">
        <v>763</v>
      </c>
      <c r="E7" s="6" t="s">
        <v>764</v>
      </c>
    </row>
    <row r="8" customFormat="false" ht="34.5" hidden="false" customHeight="true" outlineLevel="0" collapsed="false">
      <c r="A8" s="9" t="s">
        <v>771</v>
      </c>
      <c r="B8" s="8" t="s">
        <v>772</v>
      </c>
      <c r="C8" s="9" t="s">
        <v>762</v>
      </c>
      <c r="D8" s="8" t="s">
        <v>763</v>
      </c>
      <c r="E8" s="8" t="s">
        <v>768</v>
      </c>
    </row>
    <row r="9" customFormat="false" ht="34.5" hidden="false" customHeight="true" outlineLevel="0" collapsed="false">
      <c r="A9" s="7" t="s">
        <v>773</v>
      </c>
      <c r="B9" s="6" t="s">
        <v>774</v>
      </c>
      <c r="C9" s="7" t="s">
        <v>775</v>
      </c>
      <c r="D9" s="6" t="s">
        <v>763</v>
      </c>
      <c r="E9" s="6" t="s">
        <v>776</v>
      </c>
    </row>
    <row r="10" customFormat="false" ht="34.5" hidden="false" customHeight="true" outlineLevel="0" collapsed="false">
      <c r="A10" s="9" t="s">
        <v>777</v>
      </c>
      <c r="B10" s="8" t="s">
        <v>778</v>
      </c>
      <c r="C10" s="9" t="s">
        <v>775</v>
      </c>
      <c r="D10" s="8" t="s">
        <v>763</v>
      </c>
      <c r="E10" s="8" t="s">
        <v>776</v>
      </c>
    </row>
    <row r="11" customFormat="false" ht="34.5" hidden="false" customHeight="true" outlineLevel="0" collapsed="false">
      <c r="A11" s="7" t="s">
        <v>779</v>
      </c>
      <c r="B11" s="6" t="s">
        <v>780</v>
      </c>
      <c r="C11" s="7" t="s">
        <v>767</v>
      </c>
      <c r="D11" s="6" t="s">
        <v>781</v>
      </c>
      <c r="E11" s="6" t="s">
        <v>782</v>
      </c>
    </row>
    <row r="12" customFormat="false" ht="34.5" hidden="false" customHeight="true" outlineLevel="0" collapsed="false">
      <c r="A12" s="9" t="s">
        <v>783</v>
      </c>
      <c r="B12" s="8" t="s">
        <v>784</v>
      </c>
      <c r="C12" s="9" t="s">
        <v>785</v>
      </c>
      <c r="D12" s="8" t="s">
        <v>763</v>
      </c>
      <c r="E12" s="8" t="s">
        <v>776</v>
      </c>
    </row>
    <row r="13" customFormat="false" ht="34.5" hidden="false" customHeight="true" outlineLevel="0" collapsed="false">
      <c r="A13" s="7" t="s">
        <v>786</v>
      </c>
      <c r="B13" s="6" t="s">
        <v>787</v>
      </c>
      <c r="C13" s="7" t="s">
        <v>775</v>
      </c>
      <c r="D13" s="6" t="s">
        <v>763</v>
      </c>
      <c r="E13" s="6" t="s">
        <v>776</v>
      </c>
    </row>
    <row r="14" customFormat="false" ht="34.5" hidden="false" customHeight="true" outlineLevel="0" collapsed="false">
      <c r="A14" s="9" t="s">
        <v>788</v>
      </c>
      <c r="B14" s="8" t="s">
        <v>789</v>
      </c>
      <c r="C14" s="9" t="s">
        <v>767</v>
      </c>
      <c r="D14" s="8" t="s">
        <v>790</v>
      </c>
      <c r="E14" s="8" t="s">
        <v>782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46"/>
    <col collapsed="false" customWidth="true" hidden="false" outlineLevel="0" max="4" min="4" style="1" width="12"/>
    <col collapsed="false" customWidth="true" hidden="false" outlineLevel="0" max="5" min="5" style="1" width="50"/>
  </cols>
  <sheetData>
    <row r="1" customFormat="false" ht="24" hidden="false" customHeight="true" outlineLevel="0" collapsed="false">
      <c r="A1" s="2" t="s">
        <v>791</v>
      </c>
      <c r="B1" s="2"/>
      <c r="C1" s="2"/>
      <c r="D1" s="2"/>
      <c r="E1" s="2"/>
    </row>
    <row r="2" customFormat="false" ht="27.75" hidden="false" customHeight="true" outlineLevel="0" collapsed="false">
      <c r="A2" s="5" t="s">
        <v>792</v>
      </c>
      <c r="B2" s="5" t="s">
        <v>793</v>
      </c>
      <c r="C2" s="5" t="s">
        <v>457</v>
      </c>
      <c r="D2" s="5" t="s">
        <v>456</v>
      </c>
      <c r="E2" s="5" t="s">
        <v>458</v>
      </c>
    </row>
    <row r="3" customFormat="false" ht="34.5" hidden="false" customHeight="true" outlineLevel="0" collapsed="false">
      <c r="A3" s="7" t="n">
        <v>1</v>
      </c>
      <c r="B3" s="7" t="s">
        <v>794</v>
      </c>
      <c r="C3" s="6" t="s">
        <v>486</v>
      </c>
      <c r="D3" s="7" t="s">
        <v>509</v>
      </c>
      <c r="E3" s="6" t="s">
        <v>487</v>
      </c>
    </row>
    <row r="4" customFormat="false" ht="34.5" hidden="false" customHeight="true" outlineLevel="0" collapsed="false">
      <c r="A4" s="9" t="n">
        <v>2</v>
      </c>
      <c r="B4" s="9" t="s">
        <v>794</v>
      </c>
      <c r="C4" s="8" t="s">
        <v>795</v>
      </c>
      <c r="D4" s="9" t="s">
        <v>509</v>
      </c>
      <c r="E4" s="8" t="s">
        <v>544</v>
      </c>
    </row>
    <row r="5" customFormat="false" ht="23.25" hidden="false" customHeight="true" outlineLevel="0" collapsed="false">
      <c r="A5" s="7" t="n">
        <v>3</v>
      </c>
      <c r="B5" s="7" t="s">
        <v>796</v>
      </c>
      <c r="C5" s="6" t="s">
        <v>797</v>
      </c>
      <c r="D5" s="7" t="s">
        <v>509</v>
      </c>
      <c r="E5" s="6" t="s">
        <v>572</v>
      </c>
    </row>
    <row r="6" customFormat="false" ht="23.25" hidden="false" customHeight="true" outlineLevel="0" collapsed="false">
      <c r="A6" s="9" t="n">
        <v>4</v>
      </c>
      <c r="B6" s="9" t="s">
        <v>798</v>
      </c>
      <c r="C6" s="8" t="s">
        <v>799</v>
      </c>
      <c r="D6" s="9" t="s">
        <v>481</v>
      </c>
      <c r="E6" s="8" t="s">
        <v>251</v>
      </c>
    </row>
    <row r="7" customFormat="false" ht="23.25" hidden="false" customHeight="true" outlineLevel="0" collapsed="false">
      <c r="A7" s="7" t="n">
        <v>5</v>
      </c>
      <c r="B7" s="7" t="s">
        <v>126</v>
      </c>
      <c r="C7" s="6" t="s">
        <v>800</v>
      </c>
      <c r="D7" s="7" t="s">
        <v>509</v>
      </c>
      <c r="E7" s="6" t="s">
        <v>757</v>
      </c>
    </row>
    <row r="8" customFormat="false" ht="34.5" hidden="false" customHeight="true" outlineLevel="0" collapsed="false">
      <c r="A8" s="9" t="n">
        <v>6</v>
      </c>
      <c r="B8" s="9" t="s">
        <v>126</v>
      </c>
      <c r="C8" s="8" t="s">
        <v>801</v>
      </c>
      <c r="D8" s="9" t="s">
        <v>470</v>
      </c>
      <c r="E8" s="8" t="s">
        <v>736</v>
      </c>
    </row>
    <row r="9" customFormat="false" ht="23.25" hidden="false" customHeight="true" outlineLevel="0" collapsed="false">
      <c r="A9" s="7" t="n">
        <v>7</v>
      </c>
      <c r="B9" s="7" t="s">
        <v>744</v>
      </c>
      <c r="C9" s="6" t="s">
        <v>802</v>
      </c>
      <c r="D9" s="7" t="s">
        <v>803</v>
      </c>
      <c r="E9" s="6" t="s">
        <v>745</v>
      </c>
    </row>
    <row r="10" customFormat="false" ht="34.5" hidden="false" customHeight="true" outlineLevel="0" collapsed="false">
      <c r="A10" s="9" t="n">
        <v>8</v>
      </c>
      <c r="B10" s="9" t="s">
        <v>804</v>
      </c>
      <c r="C10" s="8" t="s">
        <v>805</v>
      </c>
      <c r="D10" s="9" t="s">
        <v>509</v>
      </c>
      <c r="E10" s="8" t="s">
        <v>782</v>
      </c>
    </row>
    <row r="11" customFormat="false" ht="34.5" hidden="false" customHeight="true" outlineLevel="0" collapsed="false">
      <c r="A11" s="7" t="n">
        <v>9</v>
      </c>
      <c r="B11" s="7" t="s">
        <v>804</v>
      </c>
      <c r="C11" s="6" t="s">
        <v>806</v>
      </c>
      <c r="D11" s="7" t="s">
        <v>470</v>
      </c>
      <c r="E11" s="6" t="s">
        <v>776</v>
      </c>
    </row>
    <row r="12" customFormat="false" ht="34.5" hidden="false" customHeight="true" outlineLevel="0" collapsed="false">
      <c r="A12" s="9" t="n">
        <v>10</v>
      </c>
      <c r="B12" s="9" t="s">
        <v>804</v>
      </c>
      <c r="C12" s="8" t="s">
        <v>807</v>
      </c>
      <c r="D12" s="9" t="s">
        <v>509</v>
      </c>
      <c r="E12" s="8" t="s">
        <v>768</v>
      </c>
    </row>
    <row r="13" customFormat="false" ht="15" hidden="false" customHeight="true" outlineLevel="0" collapsed="false">
      <c r="A13" s="7" t="n">
        <v>11</v>
      </c>
      <c r="B13" s="7" t="s">
        <v>201</v>
      </c>
      <c r="C13" s="6" t="s">
        <v>808</v>
      </c>
      <c r="D13" s="7" t="s">
        <v>809</v>
      </c>
      <c r="E13" s="6" t="s">
        <v>810</v>
      </c>
    </row>
    <row r="14" customFormat="false" ht="23.25" hidden="false" customHeight="true" outlineLevel="0" collapsed="false">
      <c r="A14" s="9" t="n">
        <v>12</v>
      </c>
      <c r="B14" s="9" t="s">
        <v>471</v>
      </c>
      <c r="C14" s="8" t="s">
        <v>811</v>
      </c>
      <c r="D14" s="9" t="s">
        <v>470</v>
      </c>
      <c r="E14" s="8" t="s">
        <v>466</v>
      </c>
    </row>
    <row r="15" customFormat="false" ht="15" hidden="false" customHeight="true" outlineLevel="0" collapsed="false">
      <c r="A15" s="7" t="n">
        <v>13</v>
      </c>
      <c r="B15" s="7" t="s">
        <v>812</v>
      </c>
      <c r="C15" s="6" t="s">
        <v>813</v>
      </c>
      <c r="D15" s="7" t="s">
        <v>509</v>
      </c>
      <c r="E15" s="6"/>
    </row>
    <row r="16" customFormat="false" ht="23.25" hidden="false" customHeight="true" outlineLevel="0" collapsed="false">
      <c r="A16" s="9" t="n">
        <v>14</v>
      </c>
      <c r="B16" s="9" t="s">
        <v>814</v>
      </c>
      <c r="C16" s="8" t="s">
        <v>815</v>
      </c>
      <c r="D16" s="9" t="s">
        <v>809</v>
      </c>
      <c r="E16" s="8"/>
    </row>
    <row r="17" customFormat="false" ht="34.5" hidden="false" customHeight="true" outlineLevel="0" collapsed="false">
      <c r="A17" s="7" t="n">
        <v>15</v>
      </c>
      <c r="B17" s="7" t="s">
        <v>794</v>
      </c>
      <c r="C17" s="6" t="s">
        <v>816</v>
      </c>
      <c r="D17" s="7" t="s">
        <v>470</v>
      </c>
      <c r="E17" s="6" t="s">
        <v>817</v>
      </c>
    </row>
    <row r="18" customFormat="false" ht="34.5" hidden="false" customHeight="true" outlineLevel="0" collapsed="false">
      <c r="A18" s="9" t="n">
        <v>16</v>
      </c>
      <c r="B18" s="9" t="s">
        <v>818</v>
      </c>
      <c r="C18" s="8" t="s">
        <v>819</v>
      </c>
      <c r="D18" s="9" t="s">
        <v>470</v>
      </c>
      <c r="E18" s="8" t="s">
        <v>820</v>
      </c>
    </row>
    <row r="19" customFormat="false" ht="23.25" hidden="false" customHeight="true" outlineLevel="0" collapsed="false">
      <c r="A19" s="7" t="n">
        <v>17</v>
      </c>
      <c r="B19" s="7" t="s">
        <v>821</v>
      </c>
      <c r="C19" s="6" t="s">
        <v>822</v>
      </c>
      <c r="D19" s="7" t="s">
        <v>470</v>
      </c>
      <c r="E19" s="6" t="s">
        <v>823</v>
      </c>
    </row>
    <row r="20" customFormat="false" ht="34.5" hidden="false" customHeight="true" outlineLevel="0" collapsed="false">
      <c r="A20" s="9" t="n">
        <v>18</v>
      </c>
      <c r="B20" s="9" t="s">
        <v>794</v>
      </c>
      <c r="C20" s="8" t="s">
        <v>824</v>
      </c>
      <c r="D20" s="9" t="s">
        <v>481</v>
      </c>
      <c r="E20" s="8" t="s">
        <v>825</v>
      </c>
    </row>
    <row r="21" customFormat="false" ht="34.5" hidden="false" customHeight="true" outlineLevel="0" collapsed="false">
      <c r="A21" s="7" t="n">
        <v>19</v>
      </c>
      <c r="B21" s="7" t="s">
        <v>826</v>
      </c>
      <c r="C21" s="6" t="s">
        <v>827</v>
      </c>
      <c r="D21" s="7" t="s">
        <v>481</v>
      </c>
      <c r="E21" s="6" t="s">
        <v>828</v>
      </c>
    </row>
    <row r="22" customFormat="false" ht="23.85" hidden="false" customHeight="false" outlineLevel="0" collapsed="false">
      <c r="A22" s="9" t="n">
        <v>20</v>
      </c>
      <c r="B22" s="9" t="s">
        <v>829</v>
      </c>
      <c r="C22" s="8" t="s">
        <v>830</v>
      </c>
      <c r="D22" s="9" t="s">
        <v>509</v>
      </c>
      <c r="E22" s="8" t="s">
        <v>831</v>
      </c>
    </row>
    <row r="23" customFormat="false" ht="23.85" hidden="false" customHeight="false" outlineLevel="0" collapsed="false">
      <c r="A23" s="7" t="n">
        <v>21</v>
      </c>
      <c r="B23" s="7" t="s">
        <v>126</v>
      </c>
      <c r="C23" s="6" t="s">
        <v>832</v>
      </c>
      <c r="D23" s="7" t="s">
        <v>481</v>
      </c>
      <c r="E23" s="6" t="s">
        <v>833</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60"/>
  </cols>
  <sheetData>
    <row r="1" customFormat="false" ht="24" hidden="false" customHeight="true" outlineLevel="0" collapsed="false">
      <c r="A1" s="2" t="s">
        <v>834</v>
      </c>
      <c r="B1" s="2"/>
      <c r="C1" s="2"/>
    </row>
    <row r="2" customFormat="false" ht="27.75" hidden="false" customHeight="true" outlineLevel="0" collapsed="false">
      <c r="A2" s="5" t="s">
        <v>835</v>
      </c>
      <c r="B2" s="5" t="s">
        <v>836</v>
      </c>
      <c r="C2" s="5" t="s">
        <v>837</v>
      </c>
    </row>
    <row r="3" customFormat="false" ht="45" hidden="false" customHeight="true" outlineLevel="0" collapsed="false">
      <c r="A3" s="6" t="s">
        <v>838</v>
      </c>
      <c r="B3" s="6" t="s">
        <v>839</v>
      </c>
      <c r="C3" s="6" t="s">
        <v>840</v>
      </c>
    </row>
    <row r="4" customFormat="false" ht="45" hidden="false" customHeight="true" outlineLevel="0" collapsed="false">
      <c r="A4" s="8" t="s">
        <v>841</v>
      </c>
      <c r="B4" s="8" t="s">
        <v>842</v>
      </c>
      <c r="C4" s="8" t="s">
        <v>843</v>
      </c>
    </row>
    <row r="5" customFormat="false" ht="45" hidden="false" customHeight="true" outlineLevel="0" collapsed="false">
      <c r="A5" s="6" t="s">
        <v>844</v>
      </c>
      <c r="B5" s="6" t="s">
        <v>845</v>
      </c>
      <c r="C5" s="6" t="s">
        <v>846</v>
      </c>
    </row>
    <row r="6" customFormat="false" ht="45" hidden="false" customHeight="true" outlineLevel="0" collapsed="false">
      <c r="A6" s="8" t="s">
        <v>847</v>
      </c>
      <c r="B6" s="8" t="s">
        <v>848</v>
      </c>
      <c r="C6" s="8" t="s">
        <v>849</v>
      </c>
    </row>
    <row r="7" customFormat="false" ht="45" hidden="false" customHeight="true" outlineLevel="0" collapsed="false">
      <c r="A7" s="6" t="s">
        <v>850</v>
      </c>
      <c r="B7" s="6" t="s">
        <v>851</v>
      </c>
      <c r="C7" s="6" t="s">
        <v>852</v>
      </c>
    </row>
    <row r="8" customFormat="false" ht="45" hidden="false" customHeight="true" outlineLevel="0" collapsed="false">
      <c r="A8" s="8" t="s">
        <v>853</v>
      </c>
      <c r="B8" s="8" t="s">
        <v>854</v>
      </c>
      <c r="C8" s="8" t="s">
        <v>855</v>
      </c>
    </row>
    <row r="9" customFormat="false" ht="45" hidden="false" customHeight="true" outlineLevel="0" collapsed="false">
      <c r="A9" s="6" t="s">
        <v>856</v>
      </c>
      <c r="B9" s="6" t="s">
        <v>857</v>
      </c>
      <c r="C9" s="6" t="s">
        <v>858</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8" topLeftCell="A4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30"/>
    <col collapsed="false" customWidth="true" hidden="false" outlineLevel="0" max="3" min="3" style="1" width="14"/>
    <col collapsed="false" customWidth="true" hidden="false" outlineLevel="0" max="4" min="4" style="1" width="32"/>
    <col collapsed="false" customWidth="true" hidden="false" outlineLevel="0" max="5" min="5" style="1" width="40"/>
    <col collapsed="false" customWidth="true" hidden="false" outlineLevel="0" max="6" min="6" style="1" width="46"/>
    <col collapsed="false" customWidth="true" hidden="false" outlineLevel="0" max="7" min="7" style="1" width="44"/>
  </cols>
  <sheetData>
    <row r="1" customFormat="false" ht="24" hidden="false" customHeight="true" outlineLevel="0" collapsed="false">
      <c r="A1" s="2" t="s">
        <v>859</v>
      </c>
      <c r="B1" s="2"/>
      <c r="C1" s="2"/>
      <c r="D1" s="2"/>
      <c r="E1" s="2"/>
      <c r="F1" s="2"/>
      <c r="G1" s="2"/>
    </row>
    <row r="2" customFormat="false" ht="84" hidden="false" customHeight="true" outlineLevel="0" collapsed="false">
      <c r="A2" s="4" t="s">
        <v>860</v>
      </c>
      <c r="B2" s="4"/>
      <c r="C2" s="4"/>
      <c r="D2" s="4"/>
      <c r="E2" s="4"/>
      <c r="F2" s="4"/>
      <c r="G2" s="4"/>
    </row>
    <row r="4" customFormat="false" ht="15" hidden="false" customHeight="true" outlineLevel="0" collapsed="false">
      <c r="A4" s="15" t="s">
        <v>861</v>
      </c>
    </row>
    <row r="5" customFormat="false" ht="27.75" hidden="false" customHeight="true" outlineLevel="0" collapsed="false">
      <c r="A5" s="5" t="s">
        <v>453</v>
      </c>
      <c r="B5" s="5" t="s">
        <v>454</v>
      </c>
      <c r="C5" s="5" t="s">
        <v>456</v>
      </c>
      <c r="D5" s="5" t="s">
        <v>19</v>
      </c>
      <c r="E5" s="5" t="s">
        <v>457</v>
      </c>
      <c r="F5" s="5" t="s">
        <v>458</v>
      </c>
      <c r="G5" s="5"/>
    </row>
    <row r="6" customFormat="false" ht="34.5" hidden="false" customHeight="true" outlineLevel="0" collapsed="false">
      <c r="A6" s="8" t="s">
        <v>862</v>
      </c>
      <c r="B6" s="8" t="s">
        <v>863</v>
      </c>
      <c r="C6" s="9" t="s">
        <v>470</v>
      </c>
      <c r="D6" s="9" t="s">
        <v>794</v>
      </c>
      <c r="E6" s="8" t="s">
        <v>816</v>
      </c>
      <c r="F6" s="8" t="s">
        <v>817</v>
      </c>
      <c r="G6" s="9"/>
    </row>
    <row r="7" customFormat="false" ht="34.5" hidden="false" customHeight="true" outlineLevel="0" collapsed="false">
      <c r="A7" s="6" t="s">
        <v>864</v>
      </c>
      <c r="B7" s="6" t="s">
        <v>865</v>
      </c>
      <c r="C7" s="7" t="s">
        <v>470</v>
      </c>
      <c r="D7" s="7" t="s">
        <v>794</v>
      </c>
      <c r="E7" s="6" t="s">
        <v>816</v>
      </c>
      <c r="F7" s="6" t="s">
        <v>817</v>
      </c>
      <c r="G7" s="7"/>
    </row>
    <row r="8" customFormat="false" ht="34.5" hidden="false" customHeight="true" outlineLevel="0" collapsed="false">
      <c r="A8" s="8" t="s">
        <v>866</v>
      </c>
      <c r="B8" s="8" t="s">
        <v>867</v>
      </c>
      <c r="C8" s="9" t="s">
        <v>470</v>
      </c>
      <c r="D8" s="9" t="s">
        <v>794</v>
      </c>
      <c r="E8" s="8" t="s">
        <v>816</v>
      </c>
      <c r="F8" s="8" t="s">
        <v>817</v>
      </c>
      <c r="G8" s="9"/>
    </row>
    <row r="9" customFormat="false" ht="34.5" hidden="false" customHeight="true" outlineLevel="0" collapsed="false">
      <c r="A9" s="6" t="s">
        <v>868</v>
      </c>
      <c r="B9" s="6" t="s">
        <v>869</v>
      </c>
      <c r="C9" s="7" t="s">
        <v>470</v>
      </c>
      <c r="D9" s="7" t="s">
        <v>794</v>
      </c>
      <c r="E9" s="6" t="s">
        <v>816</v>
      </c>
      <c r="F9" s="6" t="s">
        <v>817</v>
      </c>
      <c r="G9" s="7"/>
    </row>
    <row r="10" customFormat="false" ht="34.5" hidden="false" customHeight="true" outlineLevel="0" collapsed="false">
      <c r="A10" s="8" t="s">
        <v>870</v>
      </c>
      <c r="B10" s="8" t="s">
        <v>871</v>
      </c>
      <c r="C10" s="9" t="s">
        <v>470</v>
      </c>
      <c r="D10" s="9" t="s">
        <v>794</v>
      </c>
      <c r="E10" s="8" t="s">
        <v>816</v>
      </c>
      <c r="F10" s="8" t="s">
        <v>817</v>
      </c>
      <c r="G10" s="9"/>
    </row>
    <row r="11" customFormat="false" ht="34.5" hidden="false" customHeight="true" outlineLevel="0" collapsed="false">
      <c r="A11" s="6" t="s">
        <v>872</v>
      </c>
      <c r="B11" s="6" t="s">
        <v>873</v>
      </c>
      <c r="C11" s="7" t="s">
        <v>470</v>
      </c>
      <c r="D11" s="7" t="s">
        <v>794</v>
      </c>
      <c r="E11" s="6" t="s">
        <v>816</v>
      </c>
      <c r="F11" s="6" t="s">
        <v>817</v>
      </c>
      <c r="G11" s="7"/>
    </row>
    <row r="12" customFormat="false" ht="34.5" hidden="false" customHeight="true" outlineLevel="0" collapsed="false">
      <c r="A12" s="8" t="s">
        <v>874</v>
      </c>
      <c r="B12" s="8" t="s">
        <v>875</v>
      </c>
      <c r="C12" s="9" t="s">
        <v>470</v>
      </c>
      <c r="D12" s="9" t="s">
        <v>794</v>
      </c>
      <c r="E12" s="8" t="s">
        <v>816</v>
      </c>
      <c r="F12" s="8" t="s">
        <v>817</v>
      </c>
      <c r="G12" s="9"/>
    </row>
    <row r="13" customFormat="false" ht="34.5" hidden="false" customHeight="true" outlineLevel="0" collapsed="false">
      <c r="A13" s="6" t="s">
        <v>876</v>
      </c>
      <c r="B13" s="6" t="s">
        <v>877</v>
      </c>
      <c r="C13" s="7" t="s">
        <v>470</v>
      </c>
      <c r="D13" s="7" t="s">
        <v>794</v>
      </c>
      <c r="E13" s="6" t="s">
        <v>816</v>
      </c>
      <c r="F13" s="6" t="s">
        <v>817</v>
      </c>
      <c r="G13" s="7"/>
    </row>
    <row r="14" customFormat="false" ht="34.5" hidden="false" customHeight="true" outlineLevel="0" collapsed="false">
      <c r="A14" s="8" t="s">
        <v>878</v>
      </c>
      <c r="B14" s="8" t="s">
        <v>879</v>
      </c>
      <c r="C14" s="9" t="s">
        <v>470</v>
      </c>
      <c r="D14" s="9" t="s">
        <v>794</v>
      </c>
      <c r="E14" s="8" t="s">
        <v>816</v>
      </c>
      <c r="F14" s="8" t="s">
        <v>817</v>
      </c>
      <c r="G14" s="9"/>
    </row>
    <row r="15" customFormat="false" ht="34.5" hidden="false" customHeight="true" outlineLevel="0" collapsed="false">
      <c r="A15" s="6" t="s">
        <v>880</v>
      </c>
      <c r="B15" s="6" t="s">
        <v>881</v>
      </c>
      <c r="C15" s="7" t="s">
        <v>470</v>
      </c>
      <c r="D15" s="7" t="s">
        <v>794</v>
      </c>
      <c r="E15" s="6" t="s">
        <v>816</v>
      </c>
      <c r="F15" s="6" t="s">
        <v>817</v>
      </c>
      <c r="G15" s="7"/>
    </row>
    <row r="16" customFormat="false" ht="34.5" hidden="false" customHeight="true" outlineLevel="0" collapsed="false">
      <c r="A16" s="8" t="s">
        <v>882</v>
      </c>
      <c r="B16" s="8" t="s">
        <v>883</v>
      </c>
      <c r="C16" s="9" t="s">
        <v>470</v>
      </c>
      <c r="D16" s="9" t="s">
        <v>794</v>
      </c>
      <c r="E16" s="8" t="s">
        <v>816</v>
      </c>
      <c r="F16" s="8" t="s">
        <v>817</v>
      </c>
      <c r="G16" s="9"/>
    </row>
    <row r="17" customFormat="false" ht="34.5" hidden="false" customHeight="true" outlineLevel="0" collapsed="false">
      <c r="A17" s="6" t="s">
        <v>884</v>
      </c>
      <c r="B17" s="6" t="s">
        <v>885</v>
      </c>
      <c r="C17" s="7" t="s">
        <v>470</v>
      </c>
      <c r="D17" s="7" t="s">
        <v>794</v>
      </c>
      <c r="E17" s="6" t="s">
        <v>816</v>
      </c>
      <c r="F17" s="6" t="s">
        <v>817</v>
      </c>
      <c r="G17" s="7"/>
    </row>
    <row r="18" customFormat="false" ht="34.5" hidden="false" customHeight="true" outlineLevel="0" collapsed="false">
      <c r="A18" s="8" t="s">
        <v>886</v>
      </c>
      <c r="B18" s="8" t="s">
        <v>887</v>
      </c>
      <c r="C18" s="9" t="s">
        <v>470</v>
      </c>
      <c r="D18" s="9" t="s">
        <v>794</v>
      </c>
      <c r="E18" s="8" t="s">
        <v>816</v>
      </c>
      <c r="F18" s="8" t="s">
        <v>817</v>
      </c>
      <c r="G18" s="9"/>
    </row>
    <row r="20" customFormat="false" ht="15" hidden="false" customHeight="true" outlineLevel="0" collapsed="false">
      <c r="A20" s="15" t="s">
        <v>888</v>
      </c>
    </row>
    <row r="21" customFormat="false" ht="27.75" hidden="false" customHeight="true" outlineLevel="0" collapsed="false">
      <c r="A21" s="5" t="s">
        <v>188</v>
      </c>
      <c r="B21" s="5" t="s">
        <v>889</v>
      </c>
      <c r="C21" s="5" t="s">
        <v>890</v>
      </c>
      <c r="D21" s="5" t="s">
        <v>19</v>
      </c>
      <c r="E21" s="5" t="s">
        <v>457</v>
      </c>
      <c r="F21" s="5" t="s">
        <v>458</v>
      </c>
      <c r="G21" s="5"/>
    </row>
    <row r="22" customFormat="false" ht="34.5" hidden="false" customHeight="true" outlineLevel="0" collapsed="false">
      <c r="A22" s="9" t="s">
        <v>306</v>
      </c>
      <c r="B22" s="11" t="n">
        <v>620</v>
      </c>
      <c r="C22" s="11" t="n">
        <v>3125</v>
      </c>
      <c r="D22" s="8" t="s">
        <v>891</v>
      </c>
      <c r="E22" s="8" t="s">
        <v>816</v>
      </c>
      <c r="F22" s="8" t="s">
        <v>817</v>
      </c>
      <c r="G22" s="9"/>
    </row>
    <row r="23" customFormat="false" ht="34.5" hidden="false" customHeight="true" outlineLevel="0" collapsed="false">
      <c r="A23" s="7" t="s">
        <v>332</v>
      </c>
      <c r="B23" s="10" t="n">
        <v>550</v>
      </c>
      <c r="C23" s="10" t="n">
        <v>4154</v>
      </c>
      <c r="D23" s="6" t="s">
        <v>891</v>
      </c>
      <c r="E23" s="6" t="s">
        <v>816</v>
      </c>
      <c r="F23" s="6" t="s">
        <v>817</v>
      </c>
      <c r="G23" s="7"/>
    </row>
    <row r="24" customFormat="false" ht="34.5" hidden="false" customHeight="true" outlineLevel="0" collapsed="false">
      <c r="A24" s="9" t="s">
        <v>300</v>
      </c>
      <c r="B24" s="11" t="n">
        <v>496</v>
      </c>
      <c r="C24" s="9"/>
      <c r="D24" s="8" t="s">
        <v>891</v>
      </c>
      <c r="E24" s="8" t="s">
        <v>816</v>
      </c>
      <c r="F24" s="8" t="s">
        <v>817</v>
      </c>
      <c r="G24" s="9"/>
    </row>
    <row r="25" customFormat="false" ht="34.5" hidden="false" customHeight="true" outlineLevel="0" collapsed="false">
      <c r="A25" s="7" t="s">
        <v>311</v>
      </c>
      <c r="B25" s="10" t="n">
        <v>388</v>
      </c>
      <c r="C25" s="10" t="n">
        <v>2279</v>
      </c>
      <c r="D25" s="6" t="s">
        <v>891</v>
      </c>
      <c r="E25" s="6" t="s">
        <v>816</v>
      </c>
      <c r="F25" s="6" t="s">
        <v>817</v>
      </c>
      <c r="G25" s="7"/>
    </row>
    <row r="26" customFormat="false" ht="34.5" hidden="false" customHeight="true" outlineLevel="0" collapsed="false">
      <c r="A26" s="9" t="s">
        <v>322</v>
      </c>
      <c r="B26" s="11" t="n">
        <v>368</v>
      </c>
      <c r="C26" s="11" t="n">
        <v>4055</v>
      </c>
      <c r="D26" s="8" t="s">
        <v>891</v>
      </c>
      <c r="E26" s="8" t="s">
        <v>816</v>
      </c>
      <c r="F26" s="8" t="s">
        <v>817</v>
      </c>
      <c r="G26" s="9"/>
    </row>
    <row r="27" customFormat="false" ht="34.5" hidden="false" customHeight="true" outlineLevel="0" collapsed="false">
      <c r="A27" s="7" t="s">
        <v>317</v>
      </c>
      <c r="B27" s="10" t="n">
        <v>207</v>
      </c>
      <c r="C27" s="10" t="n">
        <v>2000</v>
      </c>
      <c r="D27" s="6" t="s">
        <v>891</v>
      </c>
      <c r="E27" s="6" t="s">
        <v>816</v>
      </c>
      <c r="F27" s="6" t="s">
        <v>817</v>
      </c>
      <c r="G27" s="7"/>
    </row>
    <row r="28" customFormat="false" ht="34.5" hidden="false" customHeight="true" outlineLevel="0" collapsed="false">
      <c r="A28" s="9" t="s">
        <v>388</v>
      </c>
      <c r="B28" s="11" t="n">
        <v>192</v>
      </c>
      <c r="C28" s="9"/>
      <c r="D28" s="8" t="s">
        <v>891</v>
      </c>
      <c r="E28" s="8" t="s">
        <v>816</v>
      </c>
      <c r="F28" s="8" t="s">
        <v>817</v>
      </c>
      <c r="G28" s="9"/>
    </row>
    <row r="29" customFormat="false" ht="34.5" hidden="false" customHeight="true" outlineLevel="0" collapsed="false">
      <c r="A29" s="7" t="s">
        <v>338</v>
      </c>
      <c r="B29" s="10" t="n">
        <v>181</v>
      </c>
      <c r="C29" s="7"/>
      <c r="D29" s="6" t="s">
        <v>891</v>
      </c>
      <c r="E29" s="6" t="s">
        <v>816</v>
      </c>
      <c r="F29" s="6" t="s">
        <v>817</v>
      </c>
      <c r="G29" s="7"/>
    </row>
    <row r="30" customFormat="false" ht="34.5" hidden="false" customHeight="true" outlineLevel="0" collapsed="false">
      <c r="A30" s="9" t="s">
        <v>253</v>
      </c>
      <c r="B30" s="11" t="n">
        <v>171</v>
      </c>
      <c r="C30" s="9"/>
      <c r="D30" s="8" t="s">
        <v>891</v>
      </c>
      <c r="E30" s="8" t="s">
        <v>816</v>
      </c>
      <c r="F30" s="8" t="s">
        <v>817</v>
      </c>
      <c r="G30" s="9"/>
    </row>
    <row r="31" customFormat="false" ht="34.5" hidden="false" customHeight="true" outlineLevel="0" collapsed="false">
      <c r="A31" s="7" t="s">
        <v>328</v>
      </c>
      <c r="B31" s="10" t="n">
        <v>150</v>
      </c>
      <c r="C31" s="7"/>
      <c r="D31" s="6" t="s">
        <v>891</v>
      </c>
      <c r="E31" s="6" t="s">
        <v>816</v>
      </c>
      <c r="F31" s="6" t="s">
        <v>817</v>
      </c>
      <c r="G31" s="7"/>
    </row>
    <row r="32" customFormat="false" ht="34.5" hidden="false" customHeight="true" outlineLevel="0" collapsed="false"/>
    <row r="33" customFormat="false" ht="15" hidden="false" customHeight="true" outlineLevel="0" collapsed="false">
      <c r="A33" s="15" t="s">
        <v>892</v>
      </c>
    </row>
    <row r="34" customFormat="false" ht="15" hidden="false" customHeight="true" outlineLevel="0" collapsed="false">
      <c r="A34" s="5" t="s">
        <v>188</v>
      </c>
      <c r="B34" s="5" t="s">
        <v>893</v>
      </c>
      <c r="C34" s="5" t="s">
        <v>894</v>
      </c>
      <c r="D34" s="5" t="s">
        <v>19</v>
      </c>
      <c r="E34" s="5" t="s">
        <v>457</v>
      </c>
      <c r="F34" s="5" t="s">
        <v>458</v>
      </c>
      <c r="G34" s="5"/>
    </row>
    <row r="35" customFormat="false" ht="27.75" hidden="false" customHeight="true" outlineLevel="0" collapsed="false">
      <c r="A35" s="9" t="s">
        <v>332</v>
      </c>
      <c r="B35" s="9" t="n">
        <v>2.74</v>
      </c>
      <c r="C35" s="9" t="s">
        <v>895</v>
      </c>
      <c r="D35" s="8" t="s">
        <v>818</v>
      </c>
      <c r="E35" s="8" t="s">
        <v>819</v>
      </c>
      <c r="F35" s="8" t="s">
        <v>820</v>
      </c>
      <c r="G35" s="9"/>
    </row>
    <row r="36" customFormat="false" ht="45.75" hidden="false" customHeight="true" outlineLevel="0" collapsed="false">
      <c r="A36" s="7" t="s">
        <v>436</v>
      </c>
      <c r="B36" s="7" t="n">
        <v>2.44</v>
      </c>
      <c r="C36" s="7" t="s">
        <v>896</v>
      </c>
      <c r="D36" s="6" t="s">
        <v>818</v>
      </c>
      <c r="E36" s="6" t="s">
        <v>819</v>
      </c>
      <c r="F36" s="6" t="s">
        <v>820</v>
      </c>
      <c r="G36" s="7"/>
    </row>
    <row r="37" customFormat="false" ht="45.75" hidden="false" customHeight="true" outlineLevel="0" collapsed="false">
      <c r="A37" s="9" t="s">
        <v>446</v>
      </c>
      <c r="B37" s="9" t="n">
        <v>2.3</v>
      </c>
      <c r="C37" s="9" t="s">
        <v>897</v>
      </c>
      <c r="D37" s="8" t="s">
        <v>818</v>
      </c>
      <c r="E37" s="8" t="s">
        <v>819</v>
      </c>
      <c r="F37" s="8" t="s">
        <v>820</v>
      </c>
      <c r="G37" s="9"/>
    </row>
    <row r="38" customFormat="false" ht="45.75" hidden="false" customHeight="true" outlineLevel="0" collapsed="false">
      <c r="A38" s="7" t="s">
        <v>244</v>
      </c>
      <c r="B38" s="7" t="n">
        <v>2.24</v>
      </c>
      <c r="C38" s="7" t="s">
        <v>898</v>
      </c>
      <c r="D38" s="6" t="s">
        <v>818</v>
      </c>
      <c r="E38" s="6" t="s">
        <v>819</v>
      </c>
      <c r="F38" s="6" t="s">
        <v>820</v>
      </c>
      <c r="G38" s="7"/>
    </row>
    <row r="39" customFormat="false" ht="45.75" hidden="false" customHeight="true" outlineLevel="0" collapsed="false">
      <c r="A39" s="9" t="s">
        <v>269</v>
      </c>
      <c r="B39" s="9" t="n">
        <v>1.97</v>
      </c>
      <c r="C39" s="9" t="s">
        <v>899</v>
      </c>
      <c r="D39" s="8" t="s">
        <v>818</v>
      </c>
      <c r="E39" s="8" t="s">
        <v>819</v>
      </c>
      <c r="F39" s="8" t="s">
        <v>820</v>
      </c>
      <c r="G39" s="9"/>
    </row>
    <row r="40" customFormat="false" ht="45.75" hidden="false" customHeight="true" outlineLevel="0" collapsed="false">
      <c r="A40" s="7" t="s">
        <v>338</v>
      </c>
      <c r="B40" s="7" t="n">
        <v>1.87</v>
      </c>
      <c r="C40" s="7"/>
      <c r="D40" s="6" t="s">
        <v>818</v>
      </c>
      <c r="E40" s="6" t="s">
        <v>819</v>
      </c>
      <c r="F40" s="6" t="s">
        <v>820</v>
      </c>
      <c r="G40" s="7"/>
    </row>
    <row r="41" customFormat="false" ht="45.75" hidden="false" customHeight="true" outlineLevel="0" collapsed="false">
      <c r="A41" s="9" t="s">
        <v>409</v>
      </c>
      <c r="B41" s="9" t="n">
        <v>1.78</v>
      </c>
      <c r="C41" s="9"/>
      <c r="D41" s="8" t="s">
        <v>818</v>
      </c>
      <c r="E41" s="8" t="s">
        <v>819</v>
      </c>
      <c r="F41" s="8" t="s">
        <v>820</v>
      </c>
      <c r="G41" s="9"/>
    </row>
    <row r="42" customFormat="false" ht="45.75" hidden="false" customHeight="true" outlineLevel="0" collapsed="false">
      <c r="A42" s="7" t="s">
        <v>366</v>
      </c>
      <c r="B42" s="7" t="n">
        <v>1.72</v>
      </c>
      <c r="C42" s="7"/>
      <c r="D42" s="6" t="s">
        <v>818</v>
      </c>
      <c r="E42" s="6" t="s">
        <v>819</v>
      </c>
      <c r="F42" s="6" t="s">
        <v>820</v>
      </c>
      <c r="G42" s="7"/>
    </row>
    <row r="43" customFormat="false" ht="45.75" hidden="false" customHeight="true" outlineLevel="0" collapsed="false">
      <c r="A43" s="9" t="s">
        <v>376</v>
      </c>
      <c r="B43" s="9" t="n">
        <v>1.69</v>
      </c>
      <c r="C43" s="9"/>
      <c r="D43" s="8" t="s">
        <v>818</v>
      </c>
      <c r="E43" s="8" t="s">
        <v>819</v>
      </c>
      <c r="F43" s="8" t="s">
        <v>820</v>
      </c>
      <c r="G43" s="9"/>
    </row>
    <row r="44" customFormat="false" ht="45.75" hidden="false" customHeight="true" outlineLevel="0" collapsed="false">
      <c r="A44" s="7" t="s">
        <v>383</v>
      </c>
      <c r="B44" s="7" t="n">
        <v>1.69</v>
      </c>
      <c r="C44" s="7"/>
      <c r="D44" s="6" t="s">
        <v>818</v>
      </c>
      <c r="E44" s="6" t="s">
        <v>819</v>
      </c>
      <c r="F44" s="6" t="s">
        <v>820</v>
      </c>
      <c r="G44" s="7"/>
    </row>
    <row r="45" customFormat="false" ht="45.75" hidden="false" customHeight="true" outlineLevel="0" collapsed="false"/>
    <row r="46" customFormat="false" ht="15" hidden="false" customHeight="true" outlineLevel="0" collapsed="false">
      <c r="A46" s="22" t="s">
        <v>900</v>
      </c>
    </row>
    <row r="47" customFormat="false" ht="15" hidden="false" customHeight="true" outlineLevel="0" collapsed="false">
      <c r="A47" s="5" t="s">
        <v>453</v>
      </c>
      <c r="B47" s="5" t="s">
        <v>454</v>
      </c>
      <c r="C47" s="5" t="s">
        <v>456</v>
      </c>
      <c r="D47" s="5" t="s">
        <v>901</v>
      </c>
      <c r="E47" s="5" t="s">
        <v>457</v>
      </c>
      <c r="F47" s="5" t="s">
        <v>458</v>
      </c>
      <c r="G47" s="5"/>
    </row>
    <row r="48" customFormat="false" ht="27.75" hidden="false" customHeight="true" outlineLevel="0" collapsed="false">
      <c r="A48" s="23" t="s">
        <v>902</v>
      </c>
      <c r="B48" s="23" t="s">
        <v>903</v>
      </c>
      <c r="C48" s="24" t="s">
        <v>470</v>
      </c>
      <c r="D48" s="23" t="s">
        <v>904</v>
      </c>
      <c r="E48" s="23" t="s">
        <v>905</v>
      </c>
      <c r="F48" s="23" t="s">
        <v>823</v>
      </c>
      <c r="G48" s="23" t="s">
        <v>906</v>
      </c>
    </row>
    <row r="49" customFormat="false" ht="45.75" hidden="false" customHeight="true" outlineLevel="0" collapsed="false"/>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4"/>
    <col collapsed="false" customWidth="true" hidden="false" outlineLevel="0" max="3" min="3" style="1" width="18"/>
    <col collapsed="false" customWidth="true" hidden="false" outlineLevel="0" max="4" min="4" style="1" width="26"/>
    <col collapsed="false" customWidth="true" hidden="false" outlineLevel="0" max="5" min="5" style="1" width="44"/>
    <col collapsed="false" customWidth="true" hidden="false" outlineLevel="0" max="6" min="6" style="1" width="50"/>
  </cols>
  <sheetData>
    <row r="1" customFormat="false" ht="24" hidden="false" customHeight="true" outlineLevel="0" collapsed="false">
      <c r="A1" s="2" t="s">
        <v>907</v>
      </c>
      <c r="B1" s="2"/>
      <c r="C1" s="2"/>
      <c r="D1" s="2"/>
      <c r="E1" s="2"/>
      <c r="F1" s="2"/>
    </row>
    <row r="2" customFormat="false" ht="55.5" hidden="false" customHeight="true" outlineLevel="0" collapsed="false">
      <c r="A2" s="4" t="s">
        <v>908</v>
      </c>
      <c r="B2" s="4"/>
      <c r="C2" s="4"/>
      <c r="D2" s="4"/>
      <c r="E2" s="4"/>
      <c r="F2" s="4"/>
    </row>
    <row r="4" customFormat="false" ht="27.75" hidden="false" customHeight="true" outlineLevel="0" collapsed="false">
      <c r="A4" s="5" t="s">
        <v>453</v>
      </c>
      <c r="B4" s="5" t="s">
        <v>454</v>
      </c>
      <c r="C4" s="5" t="s">
        <v>719</v>
      </c>
      <c r="D4" s="5" t="s">
        <v>19</v>
      </c>
      <c r="E4" s="5" t="s">
        <v>457</v>
      </c>
      <c r="F4" s="5" t="s">
        <v>458</v>
      </c>
    </row>
    <row r="5" customFormat="false" ht="23.25" hidden="false" customHeight="true" outlineLevel="0" collapsed="false">
      <c r="A5" s="6" t="s">
        <v>909</v>
      </c>
      <c r="B5" s="6" t="s">
        <v>910</v>
      </c>
      <c r="C5" s="7" t="s">
        <v>911</v>
      </c>
      <c r="D5" s="7" t="s">
        <v>794</v>
      </c>
      <c r="E5" s="6" t="s">
        <v>912</v>
      </c>
      <c r="F5" s="6" t="s">
        <v>913</v>
      </c>
    </row>
    <row r="6" customFormat="false" ht="23.25" hidden="false" customHeight="true" outlineLevel="0" collapsed="false">
      <c r="A6" s="8" t="s">
        <v>914</v>
      </c>
      <c r="B6" s="8" t="s">
        <v>915</v>
      </c>
      <c r="C6" s="9" t="s">
        <v>911</v>
      </c>
      <c r="D6" s="9" t="s">
        <v>794</v>
      </c>
      <c r="E6" s="8" t="s">
        <v>912</v>
      </c>
      <c r="F6" s="8" t="s">
        <v>913</v>
      </c>
    </row>
    <row r="7" customFormat="false" ht="23.25" hidden="false" customHeight="true" outlineLevel="0" collapsed="false">
      <c r="A7" s="6" t="s">
        <v>916</v>
      </c>
      <c r="B7" s="6" t="s">
        <v>917</v>
      </c>
      <c r="C7" s="7" t="s">
        <v>762</v>
      </c>
      <c r="D7" s="7" t="s">
        <v>794</v>
      </c>
      <c r="E7" s="6" t="s">
        <v>912</v>
      </c>
      <c r="F7" s="6" t="s">
        <v>913</v>
      </c>
    </row>
    <row r="8" customFormat="false" ht="23.25" hidden="false" customHeight="true" outlineLevel="0" collapsed="false">
      <c r="A8" s="8" t="s">
        <v>918</v>
      </c>
      <c r="B8" s="8" t="s">
        <v>919</v>
      </c>
      <c r="C8" s="9" t="s">
        <v>762</v>
      </c>
      <c r="D8" s="9" t="s">
        <v>794</v>
      </c>
      <c r="E8" s="8" t="s">
        <v>912</v>
      </c>
      <c r="F8" s="8" t="s">
        <v>913</v>
      </c>
    </row>
    <row r="9" customFormat="false" ht="23.25" hidden="false" customHeight="true" outlineLevel="0" collapsed="false">
      <c r="A9" s="6" t="s">
        <v>920</v>
      </c>
      <c r="B9" s="6" t="s">
        <v>921</v>
      </c>
      <c r="C9" s="7" t="s">
        <v>922</v>
      </c>
      <c r="D9" s="7" t="s">
        <v>794</v>
      </c>
      <c r="E9" s="6" t="s">
        <v>912</v>
      </c>
      <c r="F9" s="6" t="s">
        <v>913</v>
      </c>
    </row>
    <row r="10" customFormat="false" ht="23.25" hidden="false" customHeight="true" outlineLevel="0" collapsed="false">
      <c r="A10" s="8" t="s">
        <v>923</v>
      </c>
      <c r="B10" s="8" t="s">
        <v>924</v>
      </c>
      <c r="C10" s="9" t="s">
        <v>922</v>
      </c>
      <c r="D10" s="9" t="s">
        <v>794</v>
      </c>
      <c r="E10" s="8" t="s">
        <v>912</v>
      </c>
      <c r="F10" s="8" t="s">
        <v>913</v>
      </c>
    </row>
    <row r="12" customFormat="false" ht="34.5" hidden="false" customHeight="true" outlineLevel="0" collapsed="false">
      <c r="A12" s="8" t="s">
        <v>925</v>
      </c>
      <c r="B12" s="8" t="s">
        <v>926</v>
      </c>
      <c r="C12" s="9" t="s">
        <v>470</v>
      </c>
      <c r="D12" s="9" t="s">
        <v>27</v>
      </c>
      <c r="E12" s="8" t="s">
        <v>824</v>
      </c>
      <c r="F12" s="8" t="s">
        <v>825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44"/>
    <col collapsed="false" customWidth="true" hidden="false" outlineLevel="0" max="3" min="3" style="1" width="18"/>
    <col collapsed="false" customWidth="true" hidden="false" outlineLevel="0" max="4" min="4" style="1" width="26"/>
    <col collapsed="false" customWidth="true" hidden="false" outlineLevel="0" max="5" min="5" style="1" width="40"/>
    <col collapsed="false" customWidth="true" hidden="false" outlineLevel="0" max="6" min="6" style="1" width="50"/>
  </cols>
  <sheetData>
    <row r="1" customFormat="false" ht="24" hidden="false" customHeight="true" outlineLevel="0" collapsed="false">
      <c r="A1" s="2" t="s">
        <v>927</v>
      </c>
      <c r="B1" s="2"/>
      <c r="C1" s="2"/>
      <c r="D1" s="2"/>
      <c r="E1" s="2"/>
      <c r="F1" s="2"/>
    </row>
    <row r="2" customFormat="false" ht="42" hidden="false" customHeight="true" outlineLevel="0" collapsed="false">
      <c r="A2" s="4" t="s">
        <v>928</v>
      </c>
      <c r="B2" s="4"/>
      <c r="C2" s="4"/>
      <c r="D2" s="4"/>
      <c r="E2" s="4"/>
      <c r="F2" s="4"/>
    </row>
    <row r="4" customFormat="false" ht="27.75" hidden="false" customHeight="true" outlineLevel="0" collapsed="false">
      <c r="A4" s="5" t="s">
        <v>453</v>
      </c>
      <c r="B4" s="5" t="s">
        <v>454</v>
      </c>
      <c r="C4" s="5" t="s">
        <v>719</v>
      </c>
      <c r="D4" s="5" t="s">
        <v>19</v>
      </c>
      <c r="E4" s="5" t="s">
        <v>457</v>
      </c>
      <c r="F4" s="5" t="s">
        <v>458</v>
      </c>
    </row>
    <row r="5" customFormat="false" ht="34.5" hidden="false" customHeight="true" outlineLevel="0" collapsed="false">
      <c r="A5" s="6" t="s">
        <v>929</v>
      </c>
      <c r="B5" s="6" t="s">
        <v>930</v>
      </c>
      <c r="C5" s="7" t="s">
        <v>911</v>
      </c>
      <c r="D5" s="7" t="s">
        <v>826</v>
      </c>
      <c r="E5" s="6" t="s">
        <v>931</v>
      </c>
      <c r="F5" s="6" t="s">
        <v>828</v>
      </c>
    </row>
    <row r="6" customFormat="false" ht="34.5" hidden="false" customHeight="true" outlineLevel="0" collapsed="false">
      <c r="A6" s="8" t="s">
        <v>932</v>
      </c>
      <c r="B6" s="8" t="s">
        <v>933</v>
      </c>
      <c r="C6" s="9" t="s">
        <v>911</v>
      </c>
      <c r="D6" s="9" t="s">
        <v>826</v>
      </c>
      <c r="E6" s="8" t="s">
        <v>931</v>
      </c>
      <c r="F6" s="8" t="s">
        <v>828</v>
      </c>
    </row>
    <row r="7" customFormat="false" ht="34.5" hidden="false" customHeight="true" outlineLevel="0" collapsed="false">
      <c r="A7" s="6" t="s">
        <v>934</v>
      </c>
      <c r="B7" s="6" t="s">
        <v>935</v>
      </c>
      <c r="C7" s="7" t="s">
        <v>936</v>
      </c>
      <c r="D7" s="7" t="s">
        <v>826</v>
      </c>
      <c r="E7" s="6" t="s">
        <v>931</v>
      </c>
      <c r="F7" s="6" t="s">
        <v>828</v>
      </c>
    </row>
    <row r="8" customFormat="false" ht="34.5" hidden="false" customHeight="true" outlineLevel="0" collapsed="false">
      <c r="A8" s="8" t="s">
        <v>937</v>
      </c>
      <c r="B8" s="8" t="s">
        <v>938</v>
      </c>
      <c r="C8" s="9" t="s">
        <v>936</v>
      </c>
      <c r="D8" s="9" t="s">
        <v>826</v>
      </c>
      <c r="E8" s="8" t="s">
        <v>931</v>
      </c>
      <c r="F8" s="8" t="s">
        <v>828</v>
      </c>
    </row>
    <row r="9" customFormat="false" ht="34.5" hidden="false" customHeight="true" outlineLevel="0" collapsed="false">
      <c r="A9" s="6" t="s">
        <v>939</v>
      </c>
      <c r="B9" s="6" t="s">
        <v>940</v>
      </c>
      <c r="C9" s="7" t="s">
        <v>936</v>
      </c>
      <c r="D9" s="7" t="s">
        <v>826</v>
      </c>
      <c r="E9" s="6" t="s">
        <v>931</v>
      </c>
      <c r="F9" s="6" t="s">
        <v>828</v>
      </c>
    </row>
    <row r="10" customFormat="false" ht="34.5" hidden="false" customHeight="true" outlineLevel="0" collapsed="false">
      <c r="A10" s="8" t="s">
        <v>941</v>
      </c>
      <c r="B10" s="8" t="s">
        <v>942</v>
      </c>
      <c r="C10" s="9" t="s">
        <v>943</v>
      </c>
      <c r="D10" s="9" t="s">
        <v>826</v>
      </c>
      <c r="E10" s="8" t="s">
        <v>931</v>
      </c>
      <c r="F10" s="8" t="s">
        <v>828</v>
      </c>
    </row>
    <row r="11" customFormat="false" ht="34.5" hidden="false" customHeight="true" outlineLevel="0" collapsed="false">
      <c r="A11" s="6" t="s">
        <v>944</v>
      </c>
      <c r="B11" s="6" t="s">
        <v>945</v>
      </c>
      <c r="C11" s="7" t="s">
        <v>943</v>
      </c>
      <c r="D11" s="7" t="s">
        <v>826</v>
      </c>
      <c r="E11" s="6" t="s">
        <v>931</v>
      </c>
      <c r="F11" s="6" t="s">
        <v>828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22"/>
    <col collapsed="false" customWidth="true" hidden="false" outlineLevel="0" max="4" min="3" style="1" width="20"/>
    <col collapsed="false" customWidth="true" hidden="false" outlineLevel="0" max="6" min="5" style="1" width="44"/>
    <col collapsed="false" customWidth="true" hidden="false" outlineLevel="0" max="7" min="7" style="1" width="46"/>
  </cols>
  <sheetData>
    <row r="1" customFormat="false" ht="24" hidden="false" customHeight="true" outlineLevel="0" collapsed="false">
      <c r="A1" s="2" t="s">
        <v>946</v>
      </c>
      <c r="B1" s="2"/>
      <c r="C1" s="2"/>
      <c r="D1" s="2"/>
      <c r="E1" s="2"/>
      <c r="F1" s="2"/>
      <c r="G1" s="2"/>
    </row>
    <row r="2" customFormat="false" ht="55.5" hidden="false" customHeight="true" outlineLevel="0" collapsed="false">
      <c r="A2" s="4" t="s">
        <v>947</v>
      </c>
      <c r="B2" s="4"/>
      <c r="C2" s="4"/>
      <c r="D2" s="4"/>
      <c r="E2" s="4"/>
      <c r="F2" s="4"/>
      <c r="G2" s="4"/>
    </row>
    <row r="4" customFormat="false" ht="15" hidden="false" customHeight="true" outlineLevel="0" collapsed="false">
      <c r="A4" s="15" t="s">
        <v>948</v>
      </c>
    </row>
    <row r="5" customFormat="false" ht="27.75" hidden="false" customHeight="true" outlineLevel="0" collapsed="false">
      <c r="A5" s="5" t="s">
        <v>949</v>
      </c>
      <c r="B5" s="5" t="s">
        <v>767</v>
      </c>
      <c r="C5" s="5" t="s">
        <v>950</v>
      </c>
      <c r="D5" s="5" t="s">
        <v>951</v>
      </c>
      <c r="E5" s="5" t="s">
        <v>19</v>
      </c>
      <c r="F5" s="5" t="s">
        <v>457</v>
      </c>
      <c r="G5" s="5" t="s">
        <v>458</v>
      </c>
    </row>
    <row r="6" customFormat="false" ht="23.25" hidden="false" customHeight="true" outlineLevel="0" collapsed="false">
      <c r="A6" s="8" t="s">
        <v>952</v>
      </c>
      <c r="B6" s="9" t="s">
        <v>953</v>
      </c>
      <c r="C6" s="9" t="s">
        <v>34</v>
      </c>
      <c r="D6" s="9" t="s">
        <v>954</v>
      </c>
      <c r="E6" s="8" t="s">
        <v>955</v>
      </c>
      <c r="F6" s="8" t="s">
        <v>956</v>
      </c>
      <c r="G6" s="8" t="s">
        <v>831</v>
      </c>
    </row>
    <row r="7" customFormat="false" ht="23.25" hidden="false" customHeight="true" outlineLevel="0" collapsed="false">
      <c r="A7" s="6" t="s">
        <v>957</v>
      </c>
      <c r="B7" s="7" t="s">
        <v>958</v>
      </c>
      <c r="C7" s="7" t="s">
        <v>34</v>
      </c>
      <c r="D7" s="7" t="s">
        <v>959</v>
      </c>
      <c r="E7" s="6" t="s">
        <v>955</v>
      </c>
      <c r="F7" s="6" t="s">
        <v>956</v>
      </c>
      <c r="G7" s="6" t="s">
        <v>831</v>
      </c>
    </row>
    <row r="8" customFormat="false" ht="23.25" hidden="false" customHeight="true" outlineLevel="0" collapsed="false">
      <c r="A8" s="8" t="s">
        <v>960</v>
      </c>
      <c r="B8" s="9" t="s">
        <v>961</v>
      </c>
      <c r="C8" s="9" t="s">
        <v>34</v>
      </c>
      <c r="D8" s="9" t="s">
        <v>962</v>
      </c>
      <c r="E8" s="8" t="s">
        <v>955</v>
      </c>
      <c r="F8" s="8" t="s">
        <v>956</v>
      </c>
      <c r="G8" s="8" t="s">
        <v>831</v>
      </c>
    </row>
    <row r="9" customFormat="false" ht="23.25" hidden="false" customHeight="true" outlineLevel="0" collapsed="false">
      <c r="A9" s="6" t="s">
        <v>963</v>
      </c>
      <c r="B9" s="7" t="s">
        <v>964</v>
      </c>
      <c r="C9" s="7" t="s">
        <v>34</v>
      </c>
      <c r="D9" s="7" t="s">
        <v>34</v>
      </c>
      <c r="E9" s="6" t="s">
        <v>955</v>
      </c>
      <c r="F9" s="6" t="s">
        <v>956</v>
      </c>
      <c r="G9" s="6" t="s">
        <v>831</v>
      </c>
    </row>
    <row r="10" customFormat="false" ht="23.25" hidden="false" customHeight="true" outlineLevel="0" collapsed="false">
      <c r="A10" s="8" t="s">
        <v>965</v>
      </c>
      <c r="B10" s="9" t="s">
        <v>966</v>
      </c>
      <c r="C10" s="9" t="s">
        <v>967</v>
      </c>
      <c r="D10" s="9" t="s">
        <v>968</v>
      </c>
      <c r="E10" s="8" t="s">
        <v>955</v>
      </c>
      <c r="F10" s="8" t="s">
        <v>956</v>
      </c>
      <c r="G10" s="8" t="s">
        <v>831</v>
      </c>
    </row>
    <row r="12" customFormat="false" ht="15" hidden="false" customHeight="true" outlineLevel="0" collapsed="false">
      <c r="A12" s="15" t="s">
        <v>969</v>
      </c>
    </row>
    <row r="13" customFormat="false" ht="27.75" hidden="false" customHeight="true" outlineLevel="0" collapsed="false">
      <c r="A13" s="5" t="s">
        <v>949</v>
      </c>
      <c r="B13" s="5" t="s">
        <v>454</v>
      </c>
      <c r="C13" s="5" t="s">
        <v>951</v>
      </c>
      <c r="D13" s="5" t="s">
        <v>970</v>
      </c>
      <c r="E13" s="5" t="s">
        <v>19</v>
      </c>
      <c r="F13" s="5" t="s">
        <v>457</v>
      </c>
      <c r="G13" s="5" t="s">
        <v>458</v>
      </c>
    </row>
    <row r="14" customFormat="false" ht="23.25" hidden="false" customHeight="true" outlineLevel="0" collapsed="false">
      <c r="A14" s="8" t="s">
        <v>971</v>
      </c>
      <c r="B14" s="9" t="s">
        <v>972</v>
      </c>
      <c r="C14" s="9" t="s">
        <v>973</v>
      </c>
      <c r="D14" s="9" t="s">
        <v>974</v>
      </c>
      <c r="E14" s="8" t="s">
        <v>955</v>
      </c>
      <c r="F14" s="8" t="s">
        <v>956</v>
      </c>
      <c r="G14" s="8" t="s">
        <v>831</v>
      </c>
    </row>
    <row r="15" customFormat="false" ht="23.25" hidden="false" customHeight="true" outlineLevel="0" collapsed="false">
      <c r="A15" s="6" t="s">
        <v>975</v>
      </c>
      <c r="B15" s="7" t="s">
        <v>976</v>
      </c>
      <c r="C15" s="7" t="s">
        <v>977</v>
      </c>
      <c r="D15" s="7" t="s">
        <v>978</v>
      </c>
      <c r="E15" s="6" t="s">
        <v>955</v>
      </c>
      <c r="F15" s="6" t="s">
        <v>956</v>
      </c>
      <c r="G15" s="6" t="s">
        <v>831</v>
      </c>
    </row>
    <row r="16" customFormat="false" ht="23.25" hidden="false" customHeight="true" outlineLevel="0" collapsed="false">
      <c r="A16" s="8" t="s">
        <v>979</v>
      </c>
      <c r="B16" s="9" t="s">
        <v>980</v>
      </c>
      <c r="C16" s="9" t="s">
        <v>981</v>
      </c>
      <c r="D16" s="9" t="s">
        <v>982</v>
      </c>
      <c r="E16" s="8" t="s">
        <v>955</v>
      </c>
      <c r="F16" s="8" t="s">
        <v>956</v>
      </c>
      <c r="G16" s="8" t="s">
        <v>831</v>
      </c>
    </row>
    <row r="17" customFormat="false" ht="23.25" hidden="false" customHeight="true" outlineLevel="0" collapsed="false">
      <c r="A17" s="6" t="s">
        <v>983</v>
      </c>
      <c r="B17" s="7" t="s">
        <v>984</v>
      </c>
      <c r="C17" s="7" t="s">
        <v>985</v>
      </c>
      <c r="D17" s="7" t="s">
        <v>986</v>
      </c>
      <c r="E17" s="6" t="s">
        <v>955</v>
      </c>
      <c r="F17" s="6" t="s">
        <v>956</v>
      </c>
      <c r="G17" s="6" t="s">
        <v>831</v>
      </c>
    </row>
    <row r="18" customFormat="false" ht="23.25" hidden="false" customHeight="true" outlineLevel="0" collapsed="false">
      <c r="A18" s="8" t="s">
        <v>987</v>
      </c>
      <c r="B18" s="9" t="s">
        <v>988</v>
      </c>
      <c r="C18" s="9" t="s">
        <v>989</v>
      </c>
      <c r="D18" s="9" t="s">
        <v>990</v>
      </c>
      <c r="E18" s="8" t="s">
        <v>955</v>
      </c>
      <c r="F18" s="8" t="s">
        <v>956</v>
      </c>
      <c r="G18" s="8" t="s">
        <v>831</v>
      </c>
    </row>
    <row r="19" customFormat="false" ht="23.25" hidden="false" customHeight="true" outlineLevel="0" collapsed="false">
      <c r="A19" s="6" t="s">
        <v>991</v>
      </c>
      <c r="B19" s="7" t="s">
        <v>992</v>
      </c>
      <c r="C19" s="7" t="s">
        <v>985</v>
      </c>
      <c r="D19" s="7" t="s">
        <v>993</v>
      </c>
      <c r="E19" s="6" t="s">
        <v>955</v>
      </c>
      <c r="F19" s="6" t="s">
        <v>956</v>
      </c>
      <c r="G19" s="6" t="s">
        <v>831</v>
      </c>
    </row>
    <row r="20" customFormat="false" ht="23.25" hidden="false" customHeight="true" outlineLevel="0" collapsed="false">
      <c r="A20" s="8" t="s">
        <v>994</v>
      </c>
      <c r="B20" s="9" t="s">
        <v>995</v>
      </c>
      <c r="C20" s="9" t="s">
        <v>996</v>
      </c>
      <c r="D20" s="9" t="s">
        <v>997</v>
      </c>
      <c r="E20" s="8" t="s">
        <v>955</v>
      </c>
      <c r="F20" s="8" t="s">
        <v>956</v>
      </c>
      <c r="G20" s="8" t="s">
        <v>831</v>
      </c>
    </row>
    <row r="21" customFormat="false" ht="23.25" hidden="false" customHeight="true" outlineLevel="0" collapsed="false">
      <c r="A21" s="6" t="s">
        <v>998</v>
      </c>
      <c r="B21" s="7" t="s">
        <v>999</v>
      </c>
      <c r="C21" s="7" t="s">
        <v>1000</v>
      </c>
      <c r="D21" s="7" t="s">
        <v>1001</v>
      </c>
      <c r="E21" s="6" t="s">
        <v>955</v>
      </c>
      <c r="F21" s="6" t="s">
        <v>956</v>
      </c>
      <c r="G21" s="6" t="s">
        <v>831</v>
      </c>
    </row>
    <row r="22" customFormat="false" ht="23.25" hidden="false" customHeight="true" outlineLevel="0" collapsed="false">
      <c r="A22" s="8" t="s">
        <v>1002</v>
      </c>
      <c r="B22" s="9" t="s">
        <v>1003</v>
      </c>
      <c r="C22" s="9" t="s">
        <v>1004</v>
      </c>
      <c r="D22" s="9" t="s">
        <v>1005</v>
      </c>
      <c r="E22" s="8" t="s">
        <v>955</v>
      </c>
      <c r="F22" s="8" t="s">
        <v>956</v>
      </c>
      <c r="G22" s="8" t="s">
        <v>831</v>
      </c>
    </row>
    <row r="23" customFormat="false" ht="23.25" hidden="false" customHeight="true" outlineLevel="0" collapsed="false">
      <c r="A23" s="6" t="s">
        <v>1006</v>
      </c>
      <c r="B23" s="7" t="s">
        <v>1007</v>
      </c>
      <c r="C23" s="7" t="s">
        <v>1008</v>
      </c>
      <c r="D23" s="7" t="s">
        <v>1009</v>
      </c>
      <c r="E23" s="6" t="s">
        <v>955</v>
      </c>
      <c r="F23" s="6" t="s">
        <v>956</v>
      </c>
      <c r="G23" s="6" t="s">
        <v>831</v>
      </c>
    </row>
    <row r="24" customFormat="false" ht="23.25" hidden="false" customHeight="true" outlineLevel="0" collapsed="false">
      <c r="A24" s="8" t="s">
        <v>1010</v>
      </c>
      <c r="B24" s="9" t="s">
        <v>1011</v>
      </c>
      <c r="C24" s="9" t="s">
        <v>1012</v>
      </c>
      <c r="D24" s="9" t="s">
        <v>34</v>
      </c>
      <c r="E24" s="8" t="s">
        <v>955</v>
      </c>
      <c r="F24" s="8" t="s">
        <v>956</v>
      </c>
      <c r="G24" s="8" t="s">
        <v>831</v>
      </c>
    </row>
    <row r="25" customFormat="false" ht="23.25" hidden="false" customHeight="true" outlineLevel="0" collapsed="false">
      <c r="A25" s="6" t="s">
        <v>1013</v>
      </c>
      <c r="B25" s="7" t="s">
        <v>1014</v>
      </c>
      <c r="C25" s="7" t="s">
        <v>1015</v>
      </c>
      <c r="D25" s="7" t="s">
        <v>34</v>
      </c>
      <c r="E25" s="6" t="s">
        <v>955</v>
      </c>
      <c r="F25" s="6" t="s">
        <v>956</v>
      </c>
      <c r="G25" s="6" t="s">
        <v>831</v>
      </c>
    </row>
    <row r="26" customFormat="false" ht="23.25" hidden="false" customHeight="true" outlineLevel="0" collapsed="false">
      <c r="A26" s="8" t="s">
        <v>1016</v>
      </c>
      <c r="B26" s="9" t="s">
        <v>1017</v>
      </c>
      <c r="C26" s="9" t="s">
        <v>34</v>
      </c>
      <c r="D26" s="9" t="s">
        <v>34</v>
      </c>
      <c r="E26" s="8" t="s">
        <v>955</v>
      </c>
      <c r="F26" s="8" t="s">
        <v>956</v>
      </c>
      <c r="G26" s="8" t="s">
        <v>831</v>
      </c>
    </row>
    <row r="27" customFormat="false" ht="23.25" hidden="false" customHeight="true" outlineLevel="0" collapsed="false">
      <c r="A27" s="6" t="s">
        <v>1018</v>
      </c>
      <c r="B27" s="7" t="s">
        <v>1019</v>
      </c>
      <c r="C27" s="7" t="s">
        <v>1020</v>
      </c>
      <c r="D27" s="7" t="s">
        <v>34</v>
      </c>
      <c r="E27" s="6" t="s">
        <v>955</v>
      </c>
      <c r="F27" s="6" t="s">
        <v>956</v>
      </c>
      <c r="G27" s="6" t="s">
        <v>831</v>
      </c>
    </row>
    <row r="28" customFormat="false" ht="23.25" hidden="false" customHeight="true" outlineLevel="0" collapsed="false">
      <c r="A28" s="8" t="s">
        <v>1021</v>
      </c>
      <c r="B28" s="9" t="s">
        <v>1022</v>
      </c>
      <c r="C28" s="9" t="s">
        <v>34</v>
      </c>
      <c r="D28" s="9" t="s">
        <v>34</v>
      </c>
      <c r="E28" s="8" t="s">
        <v>955</v>
      </c>
      <c r="F28" s="8" t="s">
        <v>956</v>
      </c>
      <c r="G28" s="8" t="s">
        <v>831</v>
      </c>
    </row>
    <row r="29" customFormat="false" ht="23.25" hidden="false" customHeight="true" outlineLevel="0" collapsed="false">
      <c r="A29" s="6" t="s">
        <v>1023</v>
      </c>
      <c r="B29" s="7" t="s">
        <v>1024</v>
      </c>
      <c r="C29" s="7" t="s">
        <v>1025</v>
      </c>
      <c r="D29" s="7" t="s">
        <v>34</v>
      </c>
      <c r="E29" s="6" t="s">
        <v>955</v>
      </c>
      <c r="F29" s="6" t="s">
        <v>956</v>
      </c>
      <c r="G29" s="6" t="s">
        <v>831</v>
      </c>
    </row>
    <row r="30" customFormat="false" ht="23.25" hidden="false" customHeight="true" outlineLevel="0" collapsed="false">
      <c r="A30" s="8" t="s">
        <v>1026</v>
      </c>
      <c r="B30" s="9" t="s">
        <v>1027</v>
      </c>
      <c r="C30" s="9" t="s">
        <v>1028</v>
      </c>
      <c r="D30" s="9" t="s">
        <v>34</v>
      </c>
      <c r="E30" s="8" t="s">
        <v>955</v>
      </c>
      <c r="F30" s="8" t="s">
        <v>956</v>
      </c>
      <c r="G30" s="8" t="s">
        <v>831</v>
      </c>
    </row>
    <row r="32" customFormat="false" ht="34.5" hidden="false" customHeight="true" outlineLevel="0" collapsed="false">
      <c r="A32" s="8" t="s">
        <v>1029</v>
      </c>
      <c r="B32" s="9" t="s">
        <v>1030</v>
      </c>
      <c r="C32" s="9" t="s">
        <v>34</v>
      </c>
      <c r="D32" s="9" t="s">
        <v>34</v>
      </c>
      <c r="E32" s="8" t="s">
        <v>1031</v>
      </c>
      <c r="F32" s="8" t="s">
        <v>1032</v>
      </c>
      <c r="G32" s="8" t="s">
        <v>782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30"/>
    <col collapsed="false" customWidth="true" hidden="false" outlineLevel="0" max="6" min="5" style="1" width="50"/>
  </cols>
  <sheetData>
    <row r="1" customFormat="false" ht="24" hidden="false" customHeight="true" outlineLevel="0" collapsed="false">
      <c r="A1" s="2" t="s">
        <v>1033</v>
      </c>
      <c r="B1" s="2"/>
      <c r="C1" s="2"/>
      <c r="D1" s="2"/>
      <c r="E1" s="2"/>
      <c r="F1" s="2"/>
    </row>
    <row r="2" customFormat="false" ht="69.75" hidden="false" customHeight="true" outlineLevel="0" collapsed="false">
      <c r="A2" s="4" t="s">
        <v>1034</v>
      </c>
      <c r="B2" s="4"/>
      <c r="C2" s="4"/>
      <c r="D2" s="4"/>
      <c r="E2" s="4"/>
      <c r="F2" s="4"/>
    </row>
    <row r="4" customFormat="false" ht="15" hidden="false" customHeight="true" outlineLevel="0" collapsed="false">
      <c r="A4" s="15" t="s">
        <v>1035</v>
      </c>
    </row>
    <row r="5" customFormat="false" ht="27.75" hidden="false" customHeight="true" outlineLevel="0" collapsed="false">
      <c r="A5" s="5" t="s">
        <v>1036</v>
      </c>
      <c r="B5" s="5" t="s">
        <v>454</v>
      </c>
      <c r="C5" s="5" t="s">
        <v>1037</v>
      </c>
      <c r="D5" s="5" t="s">
        <v>19</v>
      </c>
      <c r="E5" s="5" t="s">
        <v>457</v>
      </c>
      <c r="F5" s="5" t="s">
        <v>458</v>
      </c>
    </row>
    <row r="6" customFormat="false" ht="23.25" hidden="false" customHeight="true" outlineLevel="0" collapsed="false">
      <c r="A6" s="8" t="s">
        <v>1038</v>
      </c>
      <c r="B6" s="9" t="s">
        <v>1039</v>
      </c>
      <c r="C6" s="25" t="s">
        <v>1040</v>
      </c>
      <c r="D6" s="8" t="s">
        <v>126</v>
      </c>
      <c r="E6" s="8" t="s">
        <v>1041</v>
      </c>
      <c r="F6" s="8" t="s">
        <v>833</v>
      </c>
    </row>
    <row r="7" customFormat="false" ht="23.25" hidden="false" customHeight="true" outlineLevel="0" collapsed="false">
      <c r="A7" s="6" t="s">
        <v>1042</v>
      </c>
      <c r="B7" s="7" t="s">
        <v>1043</v>
      </c>
      <c r="C7" s="26" t="s">
        <v>1040</v>
      </c>
      <c r="D7" s="6" t="s">
        <v>126</v>
      </c>
      <c r="E7" s="6" t="s">
        <v>1041</v>
      </c>
      <c r="F7" s="6" t="s">
        <v>833</v>
      </c>
    </row>
    <row r="8" customFormat="false" ht="23.25" hidden="false" customHeight="true" outlineLevel="0" collapsed="false">
      <c r="A8" s="8" t="s">
        <v>1044</v>
      </c>
      <c r="B8" s="9" t="s">
        <v>1045</v>
      </c>
      <c r="C8" s="25" t="s">
        <v>1046</v>
      </c>
      <c r="D8" s="8" t="s">
        <v>126</v>
      </c>
      <c r="E8" s="8" t="s">
        <v>1047</v>
      </c>
      <c r="F8" s="8" t="s">
        <v>757</v>
      </c>
    </row>
    <row r="9" customFormat="false" ht="23.25" hidden="false" customHeight="true" outlineLevel="0" collapsed="false">
      <c r="A9" s="6" t="s">
        <v>1048</v>
      </c>
      <c r="B9" s="7" t="s">
        <v>1049</v>
      </c>
      <c r="C9" s="26" t="s">
        <v>1046</v>
      </c>
      <c r="D9" s="6" t="s">
        <v>1050</v>
      </c>
      <c r="E9" s="6" t="s">
        <v>1051</v>
      </c>
      <c r="F9" s="6" t="s">
        <v>572</v>
      </c>
    </row>
    <row r="10" customFormat="false" ht="23.25" hidden="false" customHeight="true" outlineLevel="0" collapsed="false">
      <c r="A10" s="8" t="s">
        <v>1052</v>
      </c>
      <c r="B10" s="9" t="s">
        <v>1053</v>
      </c>
      <c r="C10" s="25" t="s">
        <v>1054</v>
      </c>
      <c r="D10" s="8" t="s">
        <v>1055</v>
      </c>
      <c r="E10" s="8" t="s">
        <v>1051</v>
      </c>
      <c r="F10" s="8"/>
    </row>
    <row r="12" customFormat="false" ht="15" hidden="false" customHeight="true" outlineLevel="0" collapsed="false">
      <c r="A12" s="22" t="s">
        <v>1056</v>
      </c>
    </row>
    <row r="13" customFormat="false" ht="27.75" hidden="false" customHeight="true" outlineLevel="0" collapsed="false">
      <c r="A13" s="5" t="s">
        <v>1057</v>
      </c>
      <c r="B13" s="5" t="s">
        <v>1058</v>
      </c>
      <c r="C13" s="5" t="s">
        <v>1059</v>
      </c>
      <c r="D13" s="5" t="s">
        <v>1060</v>
      </c>
      <c r="E13" s="5" t="s">
        <v>1061</v>
      </c>
      <c r="F13" s="5"/>
    </row>
    <row r="14" customFormat="false" ht="68.25" hidden="false" customHeight="true" outlineLevel="0" collapsed="false">
      <c r="A14" s="23" t="s">
        <v>1062</v>
      </c>
      <c r="B14" s="24" t="s">
        <v>1063</v>
      </c>
      <c r="C14" s="24" t="s">
        <v>1064</v>
      </c>
      <c r="D14" s="24" t="s">
        <v>1065</v>
      </c>
      <c r="E14" s="23" t="s">
        <v>1066</v>
      </c>
    </row>
    <row r="15" customFormat="false" ht="45.75" hidden="false" customHeight="true" outlineLevel="0" collapsed="false">
      <c r="A15" s="23" t="s">
        <v>1067</v>
      </c>
      <c r="B15" s="24" t="s">
        <v>1068</v>
      </c>
      <c r="C15" s="24" t="s">
        <v>1069</v>
      </c>
      <c r="D15" s="24" t="s">
        <v>1070</v>
      </c>
      <c r="E15" s="23" t="s">
        <v>1071</v>
      </c>
    </row>
    <row r="17" customFormat="false" ht="15" hidden="false" customHeight="true" outlineLevel="0" collapsed="false">
      <c r="A17" s="15" t="s">
        <v>1072</v>
      </c>
    </row>
    <row r="18" customFormat="false" ht="27.75" hidden="false" customHeight="true" outlineLevel="0" collapsed="false">
      <c r="A18" s="5" t="s">
        <v>1073</v>
      </c>
      <c r="B18" s="5" t="s">
        <v>1074</v>
      </c>
      <c r="C18" s="5" t="s">
        <v>1075</v>
      </c>
      <c r="D18" s="5" t="s">
        <v>1076</v>
      </c>
      <c r="E18" s="5" t="s">
        <v>1077</v>
      </c>
    </row>
    <row r="19" customFormat="false" ht="34.5" hidden="false" customHeight="true" outlineLevel="0" collapsed="false">
      <c r="A19" s="24" t="s">
        <v>1078</v>
      </c>
      <c r="B19" s="24" t="s">
        <v>1063</v>
      </c>
      <c r="C19" s="24" t="s">
        <v>1068</v>
      </c>
      <c r="D19" s="23" t="s">
        <v>1079</v>
      </c>
      <c r="E19" s="23" t="s">
        <v>1080</v>
      </c>
    </row>
    <row r="20" customFormat="false" ht="34.5" hidden="false" customHeight="true" outlineLevel="0" collapsed="false">
      <c r="A20" s="24" t="s">
        <v>1081</v>
      </c>
      <c r="B20" s="24" t="s">
        <v>1064</v>
      </c>
      <c r="C20" s="24" t="s">
        <v>1069</v>
      </c>
      <c r="D20" s="23" t="s">
        <v>1082</v>
      </c>
      <c r="E20" s="23" t="s">
        <v>1083</v>
      </c>
    </row>
    <row r="21" customFormat="false" ht="23.25" hidden="false" customHeight="true" outlineLevel="0" collapsed="false">
      <c r="A21" s="24" t="s">
        <v>1084</v>
      </c>
      <c r="B21" s="24" t="s">
        <v>1065</v>
      </c>
      <c r="C21" s="24" t="s">
        <v>1070</v>
      </c>
      <c r="D21" s="23" t="s">
        <v>1085</v>
      </c>
      <c r="E21" s="23" t="s">
        <v>1086</v>
      </c>
    </row>
    <row r="23" customFormat="false" ht="55.5" hidden="false" customHeight="true" outlineLevel="0" collapsed="false">
      <c r="A23" s="4" t="s">
        <v>1087</v>
      </c>
      <c r="B23" s="4"/>
      <c r="C23" s="4"/>
      <c r="D23" s="4"/>
      <c r="E23" s="4"/>
      <c r="F23" s="4"/>
    </row>
  </sheetData>
  <mergeCells count="3">
    <mergeCell ref="A1:F1"/>
    <mergeCell ref="A2:F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2026-07-30T02:40:51Z</dcterms:created>
  <dc:creator>openpyxl</dc:creator>
  <dc:description/>
  <dc:language>en-US</dc:language>
  <cp:lastModifiedBy/>
  <dcterms:modified xsi:type="dcterms:W3CDTF">2026-08-04T08:18:04Z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